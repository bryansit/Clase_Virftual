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6E6C8CE1-FC6F-415A-8209-D34DBCC37802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MERCADO OBJETIVO" sheetId="1" r:id="rId1"/>
    <sheet name="COSTO UNITARIO" sheetId="2" r:id="rId2"/>
    <sheet name="6.1 INVERSION TOTAL" sheetId="3" r:id="rId3"/>
    <sheet name="6.2 ESTRUCTURA DE GASTOS" sheetId="4" r:id="rId4"/>
    <sheet name="6.3 PRESUPUESTO DE INGRESOS" sheetId="5" r:id="rId5"/>
    <sheet name="6.4 PRESUPUEST DE eGRESOS" sheetId="6" r:id="rId6"/>
    <sheet name="6.5 FLUJO CAJA MENSUAL 1ER AÑO" sheetId="7" r:id="rId7"/>
    <sheet name="6.6 FLUJO CAJA PROYECTADO" sheetId="8" r:id="rId8"/>
    <sheet name="Hoja1" sheetId="9" r:id="rId9"/>
  </sheets>
  <definedNames>
    <definedName name="_xlnm._FilterDatabase" localSheetId="0" hidden="1">'MERCADO OBJETIVO'!$A$4:$C$12</definedName>
  </definedNames>
  <calcPr calcId="191029"/>
  <extLst>
    <ext uri="GoogleSheetsCustomDataVersion2">
      <go:sheetsCustomData xmlns:go="http://customooxmlschemas.google.com/" r:id="rId12" roundtripDataChecksum="kcFozlDGqji9BoDKII5xh8Sv4UaqJqY7I6us+qO3sTw="/>
    </ext>
  </extLst>
</workbook>
</file>

<file path=xl/calcChain.xml><?xml version="1.0" encoding="utf-8"?>
<calcChain xmlns="http://schemas.openxmlformats.org/spreadsheetml/2006/main">
  <c r="N14" i="5" l="1"/>
  <c r="M14" i="5"/>
  <c r="L14" i="5"/>
  <c r="K14" i="5"/>
  <c r="J14" i="5"/>
  <c r="I14" i="5"/>
  <c r="H14" i="5"/>
  <c r="G14" i="5"/>
  <c r="F14" i="5"/>
  <c r="E14" i="5"/>
  <c r="D14" i="5"/>
  <c r="C14" i="5"/>
  <c r="O14" i="5"/>
  <c r="O11" i="5"/>
  <c r="C11" i="5"/>
  <c r="C12" i="5"/>
  <c r="C10" i="5"/>
  <c r="C13" i="5"/>
  <c r="N11" i="5"/>
  <c r="D11" i="5"/>
  <c r="E11" i="5"/>
  <c r="F11" i="5"/>
  <c r="G11" i="5"/>
  <c r="H11" i="5"/>
  <c r="I11" i="5"/>
  <c r="J11" i="5"/>
  <c r="K11" i="5"/>
  <c r="L11" i="5"/>
  <c r="M11" i="5"/>
  <c r="O10" i="5"/>
  <c r="D10" i="5"/>
  <c r="E10" i="5"/>
  <c r="F10" i="5"/>
  <c r="G10" i="5"/>
  <c r="H10" i="5"/>
  <c r="I10" i="5"/>
  <c r="J10" i="5"/>
  <c r="K10" i="5"/>
  <c r="L10" i="5"/>
  <c r="M10" i="5"/>
  <c r="N10" i="5"/>
  <c r="C8" i="5"/>
  <c r="C9" i="5"/>
  <c r="D13" i="3"/>
  <c r="C25" i="4"/>
  <c r="C10" i="7" s="1"/>
  <c r="D12" i="5"/>
  <c r="E12" i="5"/>
  <c r="F12" i="5"/>
  <c r="G12" i="5"/>
  <c r="H12" i="5"/>
  <c r="I12" i="5"/>
  <c r="J12" i="5"/>
  <c r="K12" i="5"/>
  <c r="L12" i="5"/>
  <c r="M12" i="5"/>
  <c r="N12" i="5"/>
  <c r="C7" i="5"/>
  <c r="D13" i="5"/>
  <c r="E13" i="5"/>
  <c r="F13" i="5"/>
  <c r="G13" i="5"/>
  <c r="H13" i="5"/>
  <c r="I13" i="5"/>
  <c r="J13" i="5"/>
  <c r="K13" i="5"/>
  <c r="L13" i="5"/>
  <c r="M13" i="5"/>
  <c r="N13" i="5"/>
  <c r="C31" i="5"/>
  <c r="C32" i="5" s="1"/>
  <c r="C21" i="5"/>
  <c r="D21" i="5"/>
  <c r="E21" i="5"/>
  <c r="F21" i="5"/>
  <c r="G21" i="5"/>
  <c r="H21" i="5"/>
  <c r="I21" i="5"/>
  <c r="J21" i="5"/>
  <c r="K21" i="5"/>
  <c r="L21" i="5"/>
  <c r="M21" i="5"/>
  <c r="N21" i="5"/>
  <c r="C22" i="5"/>
  <c r="C20" i="5"/>
  <c r="C23" i="5" s="1"/>
  <c r="C19" i="5"/>
  <c r="O19" i="5" s="1"/>
  <c r="D31" i="5"/>
  <c r="E31" i="5"/>
  <c r="F31" i="5"/>
  <c r="G31" i="5"/>
  <c r="H31" i="5"/>
  <c r="I31" i="5"/>
  <c r="J31" i="5"/>
  <c r="K31" i="5"/>
  <c r="L31" i="5"/>
  <c r="M31" i="5"/>
  <c r="N31" i="5"/>
  <c r="D8" i="5"/>
  <c r="E8" i="5"/>
  <c r="F8" i="5"/>
  <c r="G8" i="5"/>
  <c r="H8" i="5"/>
  <c r="I8" i="5"/>
  <c r="J8" i="5"/>
  <c r="K8" i="5"/>
  <c r="L8" i="5"/>
  <c r="M8" i="5"/>
  <c r="N8" i="5"/>
  <c r="D22" i="5"/>
  <c r="E22" i="5"/>
  <c r="F22" i="5"/>
  <c r="G22" i="5"/>
  <c r="H22" i="5"/>
  <c r="I22" i="5"/>
  <c r="J22" i="5"/>
  <c r="K22" i="5"/>
  <c r="L22" i="5"/>
  <c r="M22" i="5"/>
  <c r="N22" i="5"/>
  <c r="D34" i="5"/>
  <c r="E34" i="5"/>
  <c r="F34" i="5"/>
  <c r="G34" i="5"/>
  <c r="H34" i="5"/>
  <c r="I34" i="5"/>
  <c r="J34" i="5"/>
  <c r="K34" i="5"/>
  <c r="L34" i="5"/>
  <c r="M34" i="5"/>
  <c r="N34" i="5"/>
  <c r="C30" i="5"/>
  <c r="O29" i="5"/>
  <c r="C5" i="7" l="1"/>
  <c r="C4" i="7" s="1"/>
  <c r="C24" i="5"/>
  <c r="O12" i="5" l="1"/>
  <c r="O21" i="6"/>
  <c r="O22" i="6"/>
  <c r="O20" i="6"/>
  <c r="O16" i="6"/>
  <c r="C8" i="6"/>
  <c r="O14" i="6"/>
  <c r="O15" i="6"/>
  <c r="O13" i="6"/>
  <c r="C34" i="5"/>
  <c r="O34" i="5" s="1"/>
  <c r="D33" i="5"/>
  <c r="E33" i="5"/>
  <c r="F33" i="5"/>
  <c r="G33" i="5"/>
  <c r="H33" i="5"/>
  <c r="I33" i="5"/>
  <c r="J33" i="5"/>
  <c r="K33" i="5"/>
  <c r="L33" i="5"/>
  <c r="M33" i="5"/>
  <c r="N33" i="5"/>
  <c r="C33" i="5"/>
  <c r="O22" i="5"/>
  <c r="O21" i="5"/>
  <c r="O18" i="5"/>
  <c r="O6" i="5"/>
  <c r="O13" i="5"/>
  <c r="O8" i="4"/>
  <c r="O6" i="4"/>
  <c r="K9" i="4"/>
  <c r="K6" i="6" s="1"/>
  <c r="O22" i="4"/>
  <c r="O23" i="4"/>
  <c r="O24" i="4"/>
  <c r="O21" i="4"/>
  <c r="O14" i="4"/>
  <c r="O15" i="4"/>
  <c r="O16" i="4"/>
  <c r="O13" i="4"/>
  <c r="P8" i="9"/>
  <c r="O8" i="9"/>
  <c r="O7" i="9"/>
  <c r="O6" i="9"/>
  <c r="O7" i="4"/>
  <c r="D11" i="3"/>
  <c r="D21" i="3"/>
  <c r="O9" i="5"/>
  <c r="D20" i="5"/>
  <c r="D23" i="5" s="1"/>
  <c r="E20" i="5"/>
  <c r="E23" i="5" s="1"/>
  <c r="F20" i="5"/>
  <c r="F23" i="5" s="1"/>
  <c r="G20" i="5"/>
  <c r="G23" i="5" s="1"/>
  <c r="H20" i="5"/>
  <c r="H23" i="5" s="1"/>
  <c r="I20" i="5"/>
  <c r="I23" i="5" s="1"/>
  <c r="J20" i="5"/>
  <c r="J23" i="5" s="1"/>
  <c r="K20" i="5"/>
  <c r="K23" i="5" s="1"/>
  <c r="L20" i="5"/>
  <c r="L23" i="5" s="1"/>
  <c r="M20" i="5"/>
  <c r="M23" i="5" s="1"/>
  <c r="N20" i="5"/>
  <c r="N23" i="5" s="1"/>
  <c r="O23" i="5" l="1"/>
  <c r="Q23" i="5" s="1"/>
  <c r="O33" i="5"/>
  <c r="C35" i="5"/>
  <c r="O7" i="5"/>
  <c r="O20" i="5"/>
  <c r="D7" i="5"/>
  <c r="E7" i="5"/>
  <c r="F7" i="5"/>
  <c r="G7" i="5"/>
  <c r="H7" i="5"/>
  <c r="I7" i="5"/>
  <c r="J7" i="5"/>
  <c r="K7" i="5"/>
  <c r="L7" i="5"/>
  <c r="M7" i="5"/>
  <c r="N7" i="5"/>
  <c r="D23" i="6"/>
  <c r="E23" i="6"/>
  <c r="F23" i="6"/>
  <c r="G23" i="6"/>
  <c r="H23" i="6"/>
  <c r="I23" i="6"/>
  <c r="J23" i="6"/>
  <c r="K23" i="6"/>
  <c r="L23" i="6"/>
  <c r="M23" i="6"/>
  <c r="N23" i="6"/>
  <c r="C23" i="6"/>
  <c r="D16" i="6"/>
  <c r="E16" i="6"/>
  <c r="F16" i="6"/>
  <c r="G16" i="6"/>
  <c r="H16" i="6"/>
  <c r="I16" i="6"/>
  <c r="J16" i="6"/>
  <c r="K16" i="6"/>
  <c r="L16" i="6"/>
  <c r="M16" i="6"/>
  <c r="N16" i="6"/>
  <c r="C16" i="6"/>
  <c r="D30" i="5"/>
  <c r="E30" i="5"/>
  <c r="F30" i="5"/>
  <c r="G30" i="5"/>
  <c r="H30" i="5"/>
  <c r="I30" i="5"/>
  <c r="J30" i="5"/>
  <c r="K30" i="5"/>
  <c r="L30" i="5"/>
  <c r="M30" i="5"/>
  <c r="N30" i="5"/>
  <c r="D32" i="5"/>
  <c r="E32" i="5"/>
  <c r="F32" i="5"/>
  <c r="G32" i="5"/>
  <c r="H32" i="5"/>
  <c r="I32" i="5"/>
  <c r="J32" i="5"/>
  <c r="K32" i="5"/>
  <c r="L32" i="5"/>
  <c r="M32" i="5"/>
  <c r="N32" i="5"/>
  <c r="O30" i="5"/>
  <c r="D19" i="5"/>
  <c r="E19" i="5"/>
  <c r="E24" i="5" s="1"/>
  <c r="F19" i="5"/>
  <c r="G19" i="5"/>
  <c r="H19" i="5"/>
  <c r="H24" i="5" s="1"/>
  <c r="I19" i="5"/>
  <c r="I24" i="5" s="1"/>
  <c r="J19" i="5"/>
  <c r="J24" i="5" s="1"/>
  <c r="K19" i="5"/>
  <c r="L19" i="5"/>
  <c r="L24" i="5" s="1"/>
  <c r="M19" i="5"/>
  <c r="M24" i="5" s="1"/>
  <c r="N19" i="5"/>
  <c r="C25" i="3"/>
  <c r="D25" i="3" s="1"/>
  <c r="N9" i="5"/>
  <c r="M9" i="5"/>
  <c r="L9" i="5"/>
  <c r="K9" i="5"/>
  <c r="J9" i="5"/>
  <c r="I9" i="5"/>
  <c r="H9" i="5"/>
  <c r="G9" i="5"/>
  <c r="F9" i="5"/>
  <c r="E9" i="5"/>
  <c r="C9" i="4"/>
  <c r="C6" i="6" s="1"/>
  <c r="N25" i="4"/>
  <c r="N10" i="7" s="1"/>
  <c r="D25" i="4"/>
  <c r="D8" i="6" s="1"/>
  <c r="E25" i="4"/>
  <c r="E10" i="7" s="1"/>
  <c r="F25" i="4"/>
  <c r="F10" i="7" s="1"/>
  <c r="G25" i="4"/>
  <c r="G10" i="7" s="1"/>
  <c r="H25" i="4"/>
  <c r="H10" i="7" s="1"/>
  <c r="I25" i="4"/>
  <c r="I10" i="7" s="1"/>
  <c r="J25" i="4"/>
  <c r="J10" i="7" s="1"/>
  <c r="K25" i="4"/>
  <c r="K10" i="7" s="1"/>
  <c r="L25" i="4"/>
  <c r="L10" i="7" s="1"/>
  <c r="M25" i="4"/>
  <c r="M10" i="7" s="1"/>
  <c r="D17" i="4"/>
  <c r="D9" i="7" s="1"/>
  <c r="C17" i="4"/>
  <c r="C24" i="3" s="1"/>
  <c r="C7" i="6" s="1"/>
  <c r="N17" i="4"/>
  <c r="N9" i="7" s="1"/>
  <c r="M17" i="4"/>
  <c r="M9" i="7" s="1"/>
  <c r="L17" i="4"/>
  <c r="L9" i="7" s="1"/>
  <c r="K17" i="4"/>
  <c r="K9" i="7" s="1"/>
  <c r="J17" i="4"/>
  <c r="J9" i="7" s="1"/>
  <c r="I17" i="4"/>
  <c r="I9" i="7" s="1"/>
  <c r="H17" i="4"/>
  <c r="H9" i="7" s="1"/>
  <c r="G17" i="4"/>
  <c r="G9" i="7" s="1"/>
  <c r="F17" i="4"/>
  <c r="F9" i="7" s="1"/>
  <c r="E17" i="4"/>
  <c r="E9" i="7" s="1"/>
  <c r="N9" i="4"/>
  <c r="M9" i="4"/>
  <c r="M6" i="6" s="1"/>
  <c r="L9" i="4"/>
  <c r="K8" i="7"/>
  <c r="J9" i="4"/>
  <c r="I9" i="4"/>
  <c r="H9" i="4"/>
  <c r="G9" i="4"/>
  <c r="F9" i="4"/>
  <c r="F6" i="6" s="1"/>
  <c r="E9" i="4"/>
  <c r="D9" i="4"/>
  <c r="D40" i="3"/>
  <c r="D27" i="3"/>
  <c r="D26" i="3" s="1"/>
  <c r="D39" i="3" s="1"/>
  <c r="D20" i="3"/>
  <c r="D18" i="3"/>
  <c r="D17" i="3"/>
  <c r="D16" i="3"/>
  <c r="D15" i="3"/>
  <c r="D14" i="3"/>
  <c r="D35" i="3" s="1"/>
  <c r="D12" i="3"/>
  <c r="D10" i="3"/>
  <c r="D9" i="3"/>
  <c r="D8" i="3"/>
  <c r="D7" i="3"/>
  <c r="D6" i="3"/>
  <c r="E13" i="2"/>
  <c r="E12" i="2"/>
  <c r="E11" i="2"/>
  <c r="E10" i="2"/>
  <c r="E9" i="2"/>
  <c r="E8" i="2"/>
  <c r="E7" i="2"/>
  <c r="E6" i="2"/>
  <c r="E16" i="2" s="1"/>
  <c r="E18" i="2" s="1"/>
  <c r="C6" i="1"/>
  <c r="C7" i="1" s="1"/>
  <c r="C9" i="1" s="1"/>
  <c r="C11" i="1" s="1"/>
  <c r="C15" i="1" s="1"/>
  <c r="C5" i="1"/>
  <c r="L8" i="7" l="1"/>
  <c r="L6" i="6"/>
  <c r="I8" i="7"/>
  <c r="I6" i="6"/>
  <c r="N8" i="7"/>
  <c r="N6" i="6"/>
  <c r="J8" i="7"/>
  <c r="J6" i="6"/>
  <c r="H8" i="7"/>
  <c r="H6" i="6"/>
  <c r="E8" i="7"/>
  <c r="E6" i="6"/>
  <c r="D8" i="7"/>
  <c r="D6" i="6"/>
  <c r="G8" i="7"/>
  <c r="G6" i="6"/>
  <c r="C8" i="7"/>
  <c r="C23" i="3"/>
  <c r="D24" i="3"/>
  <c r="D7" i="6" s="1"/>
  <c r="D9" i="6" s="1"/>
  <c r="D7" i="7" s="1"/>
  <c r="C9" i="7"/>
  <c r="O7" i="6"/>
  <c r="C9" i="6"/>
  <c r="C7" i="7" s="1"/>
  <c r="D35" i="5"/>
  <c r="G24" i="5"/>
  <c r="N24" i="5"/>
  <c r="M35" i="5"/>
  <c r="G5" i="7"/>
  <c r="G11" i="7" s="1"/>
  <c r="F5" i="7"/>
  <c r="F11" i="7" s="1"/>
  <c r="K24" i="5"/>
  <c r="E5" i="7"/>
  <c r="E11" i="7" s="1"/>
  <c r="J35" i="5"/>
  <c r="F24" i="5"/>
  <c r="G35" i="5"/>
  <c r="F35" i="5"/>
  <c r="N35" i="5"/>
  <c r="L35" i="5"/>
  <c r="K35" i="5"/>
  <c r="I35" i="5"/>
  <c r="H35" i="5"/>
  <c r="D24" i="5"/>
  <c r="E35" i="5"/>
  <c r="K5" i="7"/>
  <c r="K4" i="7" s="1"/>
  <c r="H5" i="7"/>
  <c r="H11" i="7" s="1"/>
  <c r="J5" i="7"/>
  <c r="J11" i="7" s="1"/>
  <c r="I5" i="7"/>
  <c r="I11" i="7" s="1"/>
  <c r="N5" i="7"/>
  <c r="N11" i="7" s="1"/>
  <c r="M5" i="7"/>
  <c r="M4" i="7" s="1"/>
  <c r="L5" i="7"/>
  <c r="L11" i="7" s="1"/>
  <c r="O31" i="5"/>
  <c r="O32" i="5"/>
  <c r="F8" i="7"/>
  <c r="O9" i="4"/>
  <c r="F31" i="4" s="1"/>
  <c r="E31" i="4" s="1"/>
  <c r="M8" i="7"/>
  <c r="Q15" i="4"/>
  <c r="O23" i="6"/>
  <c r="E28" i="6" s="1"/>
  <c r="D9" i="5"/>
  <c r="O17" i="4"/>
  <c r="F32" i="4" s="1"/>
  <c r="E32" i="4" s="1"/>
  <c r="O25" i="4"/>
  <c r="F33" i="4" s="1"/>
  <c r="E8" i="6"/>
  <c r="E9" i="6" s="1"/>
  <c r="F8" i="6"/>
  <c r="F9" i="6" s="1"/>
  <c r="F7" i="7" s="1"/>
  <c r="G8" i="6"/>
  <c r="H8" i="6"/>
  <c r="I8" i="6"/>
  <c r="D10" i="7"/>
  <c r="J8" i="6"/>
  <c r="M8" i="6"/>
  <c r="M9" i="6" s="1"/>
  <c r="L8" i="6"/>
  <c r="L9" i="6" s="1"/>
  <c r="K8" i="6"/>
  <c r="K9" i="6" s="1"/>
  <c r="N8" i="6"/>
  <c r="N9" i="6" s="1"/>
  <c r="E8" i="8"/>
  <c r="D23" i="3"/>
  <c r="F22" i="3" s="1"/>
  <c r="D5" i="3"/>
  <c r="D4" i="3" s="1"/>
  <c r="D37" i="3"/>
  <c r="O24" i="5" l="1"/>
  <c r="J9" i="6"/>
  <c r="H9" i="6"/>
  <c r="I9" i="6"/>
  <c r="G9" i="6"/>
  <c r="O6" i="6"/>
  <c r="O8" i="6"/>
  <c r="O9" i="6"/>
  <c r="C11" i="7"/>
  <c r="C6" i="7" s="1"/>
  <c r="O35" i="5"/>
  <c r="E40" i="5" s="1"/>
  <c r="F6" i="8" s="1"/>
  <c r="F5" i="8" s="1"/>
  <c r="F8" i="8"/>
  <c r="D28" i="6"/>
  <c r="J7" i="7"/>
  <c r="J6" i="7" s="1"/>
  <c r="D5" i="7"/>
  <c r="H4" i="7"/>
  <c r="D40" i="5"/>
  <c r="E6" i="8" s="1"/>
  <c r="E5" i="8" s="1"/>
  <c r="F4" i="7"/>
  <c r="E4" i="7"/>
  <c r="G4" i="7"/>
  <c r="M7" i="7"/>
  <c r="H7" i="7"/>
  <c r="H6" i="7" s="1"/>
  <c r="N7" i="7"/>
  <c r="N6" i="7" s="1"/>
  <c r="L7" i="7"/>
  <c r="L6" i="7" s="1"/>
  <c r="E33" i="4"/>
  <c r="E34" i="4" s="1"/>
  <c r="F34" i="4"/>
  <c r="C37" i="4" s="1"/>
  <c r="D37" i="4" s="1"/>
  <c r="E37" i="4" s="1"/>
  <c r="I4" i="7"/>
  <c r="M11" i="7"/>
  <c r="N4" i="7"/>
  <c r="J4" i="7"/>
  <c r="C40" i="5"/>
  <c r="K11" i="7"/>
  <c r="L4" i="7"/>
  <c r="K7" i="7"/>
  <c r="G7" i="7"/>
  <c r="G6" i="7" s="1"/>
  <c r="F6" i="7"/>
  <c r="E7" i="7"/>
  <c r="E6" i="7" s="1"/>
  <c r="I7" i="7"/>
  <c r="I6" i="7" s="1"/>
  <c r="D22" i="3"/>
  <c r="D34" i="3"/>
  <c r="D33" i="3" s="1"/>
  <c r="D19" i="3" l="1"/>
  <c r="D3" i="3" s="1"/>
  <c r="B6" i="7" s="1"/>
  <c r="B12" i="7" s="1"/>
  <c r="D38" i="3"/>
  <c r="C12" i="7"/>
  <c r="D11" i="7"/>
  <c r="D6" i="7" s="1"/>
  <c r="D4" i="7"/>
  <c r="H12" i="7"/>
  <c r="D6" i="8"/>
  <c r="D5" i="8" s="1"/>
  <c r="C22" i="8" s="1"/>
  <c r="F12" i="7"/>
  <c r="E12" i="7"/>
  <c r="G12" i="7"/>
  <c r="I12" i="7"/>
  <c r="J12" i="7"/>
  <c r="N12" i="7"/>
  <c r="M6" i="7"/>
  <c r="M12" i="7" s="1"/>
  <c r="K6" i="7"/>
  <c r="K12" i="7" s="1"/>
  <c r="D36" i="3"/>
  <c r="D32" i="3" s="1"/>
  <c r="C7" i="8" s="1"/>
  <c r="C11" i="8" s="1"/>
  <c r="L12" i="7"/>
  <c r="D8" i="8"/>
  <c r="C13" i="7" l="1"/>
  <c r="D9" i="8"/>
  <c r="D7" i="8" s="1"/>
  <c r="D11" i="8" s="1"/>
  <c r="D12" i="7"/>
  <c r="D13" i="7" s="1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C28" i="6"/>
  <c r="F9" i="8" l="1"/>
  <c r="F7" i="8" s="1"/>
  <c r="F11" i="8" s="1"/>
  <c r="E9" i="8"/>
  <c r="E7" i="8" s="1"/>
  <c r="E11" i="8" l="1"/>
  <c r="C17" i="8" s="1"/>
  <c r="C23" i="8"/>
  <c r="C19" i="8" s="1"/>
  <c r="C18" i="8" l="1"/>
</calcChain>
</file>

<file path=xl/sharedStrings.xml><?xml version="1.0" encoding="utf-8"?>
<sst xmlns="http://schemas.openxmlformats.org/spreadsheetml/2006/main" count="329" uniqueCount="198">
  <si>
    <t>MERCADO POTENCIAL (1)</t>
  </si>
  <si>
    <t>SJL</t>
  </si>
  <si>
    <t>Edad 18 a 60 años</t>
  </si>
  <si>
    <t>NSE B y C</t>
  </si>
  <si>
    <t>Preferencia por consumir productos
ecoamigables (2)</t>
  </si>
  <si>
    <t>MERCADO DISPONIBLE (3)</t>
  </si>
  <si>
    <t>¿compra carteras grandes?</t>
  </si>
  <si>
    <t>MERCADO EFECTIVO</t>
  </si>
  <si>
    <t>¿Consumiria mi producto?</t>
  </si>
  <si>
    <t>MERCADO OBJETIVO</t>
  </si>
  <si>
    <t>A qué porcentaje puedo atender</t>
  </si>
  <si>
    <t>(1) Censo INEI</t>
  </si>
  <si>
    <t>(2) RPP. Entrevista al Ing. Fulano de Tal</t>
  </si>
  <si>
    <t>(3) Entrevistas realizadas a vendedores de carteras</t>
  </si>
  <si>
    <t>LA PRODUCCIÓN ESTÁ DE ACUERDO CON LA DEMANDA O UNIDADES PROYECTADAS A VENDER</t>
  </si>
  <si>
    <t>COSTO DE PRODUCCIÓN</t>
  </si>
  <si>
    <t>INSUMOS/ PROCESOS NECESARIOS</t>
  </si>
  <si>
    <t>Cantidad a consumir
 por unidad</t>
  </si>
  <si>
    <t>Unidad de medida</t>
  </si>
  <si>
    <t>Costo en S/. por
 unidad de medida</t>
  </si>
  <si>
    <t>Costo Unitario en S/.</t>
  </si>
  <si>
    <t>Bambu</t>
  </si>
  <si>
    <t>mt</t>
  </si>
  <si>
    <t>Adornos</t>
  </si>
  <si>
    <t>unidad</t>
  </si>
  <si>
    <t>Tintes Naturales</t>
  </si>
  <si>
    <t>Correas</t>
  </si>
  <si>
    <t>Pegamentos</t>
  </si>
  <si>
    <t>lt</t>
  </si>
  <si>
    <t>Hilos</t>
  </si>
  <si>
    <t>Agujas</t>
  </si>
  <si>
    <t>Botones</t>
  </si>
  <si>
    <t>TOTAL MATERIA PRIMA</t>
  </si>
  <si>
    <t>Mano de obra</t>
  </si>
  <si>
    <t>COSTO UNITARIO DE CARTERA ECOLÓGICA</t>
  </si>
  <si>
    <t>6.1 ESTRUCTURA DE INVERSION TOTAL</t>
  </si>
  <si>
    <t>INVERSION TOTAL</t>
  </si>
  <si>
    <t>I. INVERSION FIJA</t>
  </si>
  <si>
    <t>INVERSION FIJA TANGIBLE</t>
  </si>
  <si>
    <t>Escritorio</t>
  </si>
  <si>
    <t>Sillas</t>
  </si>
  <si>
    <t>INVERSION FIJA INTANGIBLE</t>
  </si>
  <si>
    <t>Gastos notariales</t>
  </si>
  <si>
    <t>Licencia de funcionamiento</t>
  </si>
  <si>
    <t>Legalizaciones</t>
  </si>
  <si>
    <t>II. CAPITAL DE TRABAJO</t>
  </si>
  <si>
    <t>REALIZABLES</t>
  </si>
  <si>
    <t>DISPONIBLES</t>
  </si>
  <si>
    <t>Bienes</t>
  </si>
  <si>
    <t>Servicios</t>
  </si>
  <si>
    <t>Planilla</t>
  </si>
  <si>
    <t>EXIGIBLE</t>
  </si>
  <si>
    <t>Garantía</t>
  </si>
  <si>
    <t>III. IMPREVISTOS</t>
  </si>
  <si>
    <t>Caja chica</t>
  </si>
  <si>
    <t>6.2 ESTRUCTURA DE COSTOS Y GASTOS</t>
  </si>
  <si>
    <t>GASTOS ADMINISTRATIVOS EN ADQUISICIÓN DE BIENES</t>
  </si>
  <si>
    <t>- BIENES</t>
  </si>
  <si>
    <t>ENE</t>
  </si>
  <si>
    <t>FEB</t>
  </si>
  <si>
    <t>MAR</t>
  </si>
  <si>
    <t>ABRIL</t>
  </si>
  <si>
    <t>MAY</t>
  </si>
  <si>
    <t>JUN</t>
  </si>
  <si>
    <t>JUL</t>
  </si>
  <si>
    <t>AGO</t>
  </si>
  <si>
    <t>SET</t>
  </si>
  <si>
    <t>OCT</t>
  </si>
  <si>
    <t>NOV</t>
  </si>
  <si>
    <t>DIC</t>
  </si>
  <si>
    <t>Materiales de computación</t>
  </si>
  <si>
    <t>GASTO TOTAL EN BIENES</t>
  </si>
  <si>
    <t>GASTOS ADMINISTRATIVOS EN ADQUISICIÓN DE SERVICIOS</t>
  </si>
  <si>
    <t>-SERVICIOS</t>
  </si>
  <si>
    <t>Luz</t>
  </si>
  <si>
    <t>Agua</t>
  </si>
  <si>
    <t>Teléfono e Internet</t>
  </si>
  <si>
    <t>Alquiler de local*</t>
  </si>
  <si>
    <t>GASTO TOTAL EN SERVICIOS</t>
  </si>
  <si>
    <t xml:space="preserve">GASTOS ADMINISTRATIVOS - PLANILLA DE SUELDOS                                                                                                   </t>
  </si>
  <si>
    <t>CONCEPTO</t>
  </si>
  <si>
    <t>TOTAL SUELDOS /mes</t>
  </si>
  <si>
    <t>CF</t>
  </si>
  <si>
    <t>Promedio Mensual</t>
  </si>
  <si>
    <t>Anual</t>
  </si>
  <si>
    <t>Gastos Administrativos Proyectados</t>
  </si>
  <si>
    <t>Cuadro 6.3 PRESUPUESTO DE INGRESOS</t>
  </si>
  <si>
    <t>PRESUPUESTO DE INGRESOS AÑO 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</si>
  <si>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</si>
  <si>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</si>
  <si>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</si>
  <si>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</si>
  <si>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</si>
  <si>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</si>
  <si>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</si>
  <si>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</si>
  <si>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</t>
  </si>
  <si>
    <t>Octubre</t>
  </si>
  <si>
    <t>Nov</t>
  </si>
  <si>
    <t>Dici</t>
  </si>
  <si>
    <t>Año 1</t>
  </si>
  <si>
    <t>Unidades</t>
  </si>
  <si>
    <t xml:space="preserve">Ingresos </t>
  </si>
  <si>
    <t>PRESUPUESTO DE INGRESOS AÑO 2027</t>
  </si>
  <si>
    <t>Año 2</t>
  </si>
  <si>
    <t>PRESUPUESTO DE INGRESOS AÑO 2028</t>
  </si>
  <si>
    <t>Año 3</t>
  </si>
  <si>
    <t>Proyección de Ventas</t>
  </si>
  <si>
    <t>Cuadro 6.4 PRESUPUESTO DE EGRESOS</t>
  </si>
  <si>
    <t>PRESUPUESTO DE EGRESOS AÑO 2026</t>
  </si>
  <si>
    <t>Egresos</t>
  </si>
  <si>
    <t>PRESUPUESTO DE EGRESOS AÑO 2027</t>
  </si>
  <si>
    <t>PRESUPUESTO DE EGRESOS AÑO 2028</t>
  </si>
  <si>
    <t>FLUJO DE CAJA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</si>
  <si>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</si>
  <si>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</si>
  <si>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</si>
  <si>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</si>
  <si>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</si>
  <si>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</si>
  <si>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</si>
  <si>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</si>
  <si>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</si>
  <si>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</si>
  <si>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</si>
  <si>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</si>
  <si>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</si>
  <si>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INGRESOS</t>
  </si>
  <si>
    <t>Ventas</t>
  </si>
  <si>
    <t>EGRESOS</t>
  </si>
  <si>
    <t>Producción</t>
  </si>
  <si>
    <t>Impuesto a la Renta (1%)</t>
  </si>
  <si>
    <t>SALDO</t>
  </si>
  <si>
    <t>P.R.</t>
  </si>
  <si>
    <t>FLUJO DE CAJA PROYECTADO</t>
  </si>
  <si>
    <t>AÑO 0</t>
  </si>
  <si>
    <t>AÑO 1</t>
  </si>
  <si>
    <t>AÑO 2</t>
  </si>
  <si>
    <t>AÑO 3</t>
  </si>
  <si>
    <t xml:space="preserve">Gastos administrativos </t>
  </si>
  <si>
    <t>Impuesto a la Renta</t>
  </si>
  <si>
    <t>RATIOS</t>
  </si>
  <si>
    <t>COK</t>
  </si>
  <si>
    <t>VAN</t>
  </si>
  <si>
    <t>TIR</t>
  </si>
  <si>
    <t>B/C</t>
  </si>
  <si>
    <t>VAN Ing</t>
  </si>
  <si>
    <t>VAN Egr</t>
  </si>
  <si>
    <t>es de una empresa que invierte en mi</t>
  </si>
  <si>
    <t>lo que gano</t>
  </si>
  <si>
    <t>superios al costo de oportunidad</t>
  </si>
  <si>
    <t>sin no supera el 15, calcular al 10%</t>
  </si>
  <si>
    <t>uit</t>
  </si>
  <si>
    <t>Computadoras</t>
  </si>
  <si>
    <t>Servidores</t>
  </si>
  <si>
    <t>Ventilador</t>
  </si>
  <si>
    <t>Productos de limpieza</t>
  </si>
  <si>
    <t>Internet (módem/router)</t>
  </si>
  <si>
    <t>Hosting y Dominio</t>
  </si>
  <si>
    <t>Licencias de Software Base</t>
  </si>
  <si>
    <t>Materia prima e insumos (Relevantes y Requeridos)</t>
  </si>
  <si>
    <t>Materiales de oficina</t>
  </si>
  <si>
    <t>Materiales de limpieza (cada 3 meses)</t>
  </si>
  <si>
    <t>CEO/Gerente General</t>
  </si>
  <si>
    <t>Ingeniero Software Senior</t>
  </si>
  <si>
    <t>Plan Premium (Premium) S/28</t>
  </si>
  <si>
    <t>Renovación anual de licencia S/150</t>
  </si>
  <si>
    <t>Tasa de Penetración (Soporte S/ 100)</t>
  </si>
  <si>
    <t>Precio unitario (S/30)</t>
  </si>
  <si>
    <t>x</t>
  </si>
  <si>
    <t>Renovación anual de licencia S/120</t>
  </si>
  <si>
    <t>Gastos en adquisición de bienes</t>
  </si>
  <si>
    <t>Gastos en adquisición de servicios</t>
  </si>
  <si>
    <t>Gastos en planilla de sueldos</t>
  </si>
  <si>
    <t>Clientes con Plan Premium 20%</t>
  </si>
  <si>
    <t>Marketing part-time</t>
  </si>
  <si>
    <t>Contador part-time</t>
  </si>
  <si>
    <t>Renovación anual de licencia S/190</t>
  </si>
  <si>
    <t>Clientes con Plan Premium 15%</t>
  </si>
  <si>
    <t>100 * 0.15</t>
  </si>
  <si>
    <t>en</t>
  </si>
  <si>
    <t>feb</t>
  </si>
  <si>
    <t>mar</t>
  </si>
  <si>
    <t>abr</t>
  </si>
  <si>
    <t>may</t>
  </si>
  <si>
    <t>jun</t>
  </si>
  <si>
    <t>jul</t>
  </si>
  <si>
    <t>agos</t>
  </si>
  <si>
    <t>set</t>
  </si>
  <si>
    <t>oct</t>
  </si>
  <si>
    <t>nov</t>
  </si>
  <si>
    <t>dic</t>
  </si>
  <si>
    <t>Plan Premium (Premium) S/29</t>
  </si>
  <si>
    <t>Plan Premium (Premium) S/30</t>
  </si>
  <si>
    <t xml:space="preserve"> </t>
  </si>
  <si>
    <t>Proyección de Egresos</t>
  </si>
  <si>
    <t>Personalizacion (S/150)</t>
  </si>
  <si>
    <t>Porcentaje de clientes personalizados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</si>
</sst>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S/]#,##0.00"/>
    <numFmt numFmtId="165" formatCode="#,##0.000"/>
    <numFmt numFmtId="166" formatCode="&quot;S/&quot;\ #,##0;[Red]\-&quot;S/&quot;\ #,##0"/>
  </numFmts>
  <fonts count="3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rgb="FFFF0000"/>
      <name val="Arial"/>
      <family val="2"/>
    </font>
    <font>
      <b/>
      <sz val="13"/>
      <color theme="1"/>
      <name val="Calibri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</font>
    <font>
      <b/>
      <sz val="12"/>
      <color rgb="FFFF0000"/>
      <name val="Calibri"/>
      <family val="2"/>
    </font>
    <font>
      <sz val="10"/>
      <color theme="1"/>
      <name val="Calibri"/>
      <family val="2"/>
    </font>
    <font>
      <b/>
      <sz val="11"/>
      <color rgb="FFFF0000"/>
      <name val="Calibri"/>
      <family val="2"/>
    </font>
    <font>
      <sz val="1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sz val="11"/>
      <color rgb="FF000000"/>
      <name val="Calibri"/>
      <family val="2"/>
    </font>
    <font>
      <sz val="8"/>
      <name val="Aptos Narrow"/>
      <scheme val="minor"/>
    </font>
    <font>
      <sz val="11"/>
      <color rgb="FF000000"/>
      <name val="Aptos Narrow"/>
      <scheme val="minor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rgb="FFDAEEF3"/>
        <bgColor rgb="FFDAEEF3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DADADA"/>
        <bgColor rgb="FFDADADA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6FC"/>
        <bgColor rgb="FFD9E6FC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</borders>
  <cellStyleXfs count="3">
    <xf numFmtId="0" fontId="0" fillId="0" borderId="0"/>
    <xf numFmtId="43" fontId="31" fillId="0" borderId="0" applyFont="0" applyFill="0" applyBorder="0" applyAlignment="0" applyProtection="0"/>
    <xf numFmtId="44" fontId="31" fillId="0" borderId="0" applyFont="0" applyFill="0" applyBorder="0" applyAlignment="0" applyProtection="0"/>
  </cellStyleXfs>
  <cellXfs count="202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right"/>
    </xf>
    <xf numFmtId="1" fontId="6" fillId="0" borderId="0" xfId="0" applyNumberFormat="1" applyFont="1"/>
    <xf numFmtId="0" fontId="10" fillId="0" borderId="19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0" xfId="0" applyFont="1" applyBorder="1" applyAlignment="1">
      <alignment horizontal="right" wrapText="1"/>
    </xf>
    <xf numFmtId="3" fontId="10" fillId="0" borderId="20" xfId="0" applyNumberFormat="1" applyFont="1" applyBorder="1" applyAlignment="1">
      <alignment horizontal="right" wrapText="1"/>
    </xf>
    <xf numFmtId="165" fontId="6" fillId="0" borderId="0" xfId="0" applyNumberFormat="1" applyFont="1"/>
    <xf numFmtId="165" fontId="12" fillId="0" borderId="19" xfId="0" applyNumberFormat="1" applyFont="1" applyBorder="1" applyAlignment="1">
      <alignment wrapText="1"/>
    </xf>
    <xf numFmtId="4" fontId="8" fillId="0" borderId="22" xfId="0" applyNumberFormat="1" applyFont="1" applyBorder="1" applyAlignment="1">
      <alignment horizontal="left" wrapText="1"/>
    </xf>
    <xf numFmtId="4" fontId="8" fillId="0" borderId="20" xfId="0" applyNumberFormat="1" applyFont="1" applyBorder="1" applyAlignment="1">
      <alignment horizontal="center" wrapText="1"/>
    </xf>
    <xf numFmtId="4" fontId="10" fillId="0" borderId="27" xfId="0" applyNumberFormat="1" applyFont="1" applyBorder="1" applyAlignment="1">
      <alignment wrapText="1"/>
    </xf>
    <xf numFmtId="3" fontId="12" fillId="0" borderId="20" xfId="0" applyNumberFormat="1" applyFont="1" applyBorder="1" applyAlignment="1">
      <alignment wrapText="1"/>
    </xf>
    <xf numFmtId="0" fontId="12" fillId="0" borderId="20" xfId="0" applyFont="1" applyBorder="1" applyAlignment="1">
      <alignment wrapText="1"/>
    </xf>
    <xf numFmtId="4" fontId="8" fillId="0" borderId="22" xfId="0" applyNumberFormat="1" applyFont="1" applyBorder="1" applyAlignment="1">
      <alignment wrapText="1"/>
    </xf>
    <xf numFmtId="3" fontId="8" fillId="0" borderId="20" xfId="0" applyNumberFormat="1" applyFont="1" applyBorder="1" applyAlignment="1">
      <alignment horizontal="right" wrapText="1"/>
    </xf>
    <xf numFmtId="0" fontId="8" fillId="0" borderId="20" xfId="0" applyFont="1" applyBorder="1" applyAlignment="1">
      <alignment horizontal="right" wrapText="1"/>
    </xf>
    <xf numFmtId="3" fontId="13" fillId="10" borderId="1" xfId="0" applyNumberFormat="1" applyFont="1" applyFill="1" applyBorder="1" applyAlignment="1">
      <alignment wrapText="1"/>
    </xf>
    <xf numFmtId="0" fontId="9" fillId="0" borderId="0" xfId="0" applyFont="1"/>
    <xf numFmtId="0" fontId="12" fillId="0" borderId="19" xfId="0" applyFont="1" applyBorder="1" applyAlignment="1">
      <alignment wrapText="1"/>
    </xf>
    <xf numFmtId="0" fontId="12" fillId="11" borderId="19" xfId="0" applyFont="1" applyFill="1" applyBorder="1" applyAlignment="1">
      <alignment wrapText="1"/>
    </xf>
    <xf numFmtId="165" fontId="12" fillId="0" borderId="29" xfId="0" applyNumberFormat="1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0" xfId="0" applyFont="1" applyBorder="1" applyAlignment="1">
      <alignment horizontal="center" wrapText="1"/>
    </xf>
    <xf numFmtId="0" fontId="10" fillId="0" borderId="27" xfId="0" applyFont="1" applyBorder="1" applyAlignment="1">
      <alignment wrapText="1"/>
    </xf>
    <xf numFmtId="3" fontId="13" fillId="12" borderId="1" xfId="0" applyNumberFormat="1" applyFont="1" applyFill="1" applyBorder="1" applyAlignment="1">
      <alignment wrapText="1"/>
    </xf>
    <xf numFmtId="0" fontId="12" fillId="0" borderId="28" xfId="0" applyFont="1" applyBorder="1" applyAlignment="1">
      <alignment wrapText="1"/>
    </xf>
    <xf numFmtId="165" fontId="12" fillId="0" borderId="30" xfId="0" applyNumberFormat="1" applyFont="1" applyBorder="1" applyAlignment="1">
      <alignment wrapText="1"/>
    </xf>
    <xf numFmtId="0" fontId="8" fillId="0" borderId="31" xfId="0" applyFont="1" applyBorder="1" applyAlignment="1">
      <alignment wrapText="1"/>
    </xf>
    <xf numFmtId="0" fontId="8" fillId="0" borderId="32" xfId="0" applyFont="1" applyBorder="1" applyAlignment="1">
      <alignment horizontal="center" wrapText="1"/>
    </xf>
    <xf numFmtId="0" fontId="8" fillId="0" borderId="33" xfId="0" applyFont="1" applyBorder="1" applyAlignment="1">
      <alignment horizontal="center" wrapText="1"/>
    </xf>
    <xf numFmtId="165" fontId="8" fillId="11" borderId="0" xfId="0" applyNumberFormat="1" applyFont="1" applyFill="1" applyAlignment="1">
      <alignment horizontal="center" wrapText="1"/>
    </xf>
    <xf numFmtId="0" fontId="10" fillId="0" borderId="20" xfId="0" applyFont="1" applyBorder="1" applyAlignment="1">
      <alignment horizontal="center" vertical="center" wrapText="1"/>
    </xf>
    <xf numFmtId="165" fontId="8" fillId="11" borderId="0" xfId="0" applyNumberFormat="1" applyFont="1" applyFill="1" applyAlignment="1">
      <alignment horizontal="center" vertical="center" wrapText="1"/>
    </xf>
    <xf numFmtId="0" fontId="8" fillId="0" borderId="27" xfId="0" applyFont="1" applyBorder="1" applyAlignment="1">
      <alignment wrapText="1"/>
    </xf>
    <xf numFmtId="0" fontId="8" fillId="0" borderId="20" xfId="0" applyFont="1" applyBorder="1" applyAlignment="1">
      <alignment horizontal="center" vertical="center" wrapText="1"/>
    </xf>
    <xf numFmtId="3" fontId="8" fillId="13" borderId="32" xfId="0" applyNumberFormat="1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8" fillId="13" borderId="20" xfId="0" applyFont="1" applyFill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1" fontId="10" fillId="0" borderId="20" xfId="0" applyNumberFormat="1" applyFont="1" applyBorder="1" applyAlignment="1">
      <alignment horizontal="center" wrapText="1"/>
    </xf>
    <xf numFmtId="3" fontId="10" fillId="0" borderId="20" xfId="0" applyNumberFormat="1" applyFont="1" applyBorder="1" applyAlignment="1">
      <alignment horizontal="center" wrapText="1"/>
    </xf>
    <xf numFmtId="3" fontId="8" fillId="13" borderId="20" xfId="0" applyNumberFormat="1" applyFont="1" applyFill="1" applyBorder="1" applyAlignment="1">
      <alignment horizontal="center" vertical="center" wrapText="1"/>
    </xf>
    <xf numFmtId="0" fontId="12" fillId="13" borderId="22" xfId="0" applyFont="1" applyFill="1" applyBorder="1" applyAlignment="1">
      <alignment wrapText="1"/>
    </xf>
    <xf numFmtId="0" fontId="13" fillId="13" borderId="20" xfId="0" applyFont="1" applyFill="1" applyBorder="1" applyAlignment="1">
      <alignment horizontal="center" vertical="center" wrapText="1"/>
    </xf>
    <xf numFmtId="0" fontId="13" fillId="13" borderId="12" xfId="0" applyFont="1" applyFill="1" applyBorder="1" applyAlignment="1">
      <alignment horizontal="center" vertical="center" wrapText="1"/>
    </xf>
    <xf numFmtId="0" fontId="13" fillId="13" borderId="35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25" xfId="0" applyFont="1" applyBorder="1" applyAlignment="1">
      <alignment wrapText="1"/>
    </xf>
    <xf numFmtId="0" fontId="13" fillId="13" borderId="22" xfId="0" applyFont="1" applyFill="1" applyBorder="1" applyAlignment="1">
      <alignment wrapText="1"/>
    </xf>
    <xf numFmtId="3" fontId="12" fillId="13" borderId="20" xfId="0" applyNumberFormat="1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14" fillId="0" borderId="25" xfId="0" applyFont="1" applyBorder="1" applyAlignment="1">
      <alignment wrapText="1"/>
    </xf>
    <xf numFmtId="0" fontId="15" fillId="0" borderId="0" xfId="0" applyFont="1" applyAlignment="1">
      <alignment horizontal="right" wrapText="1"/>
    </xf>
    <xf numFmtId="0" fontId="14" fillId="0" borderId="0" xfId="0" applyFont="1" applyAlignment="1">
      <alignment horizontal="center" vertical="center" wrapText="1"/>
    </xf>
    <xf numFmtId="0" fontId="14" fillId="0" borderId="34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9" fontId="10" fillId="11" borderId="22" xfId="0" applyNumberFormat="1" applyFont="1" applyFill="1" applyBorder="1" applyAlignment="1">
      <alignment horizontal="center" wrapText="1"/>
    </xf>
    <xf numFmtId="0" fontId="10" fillId="11" borderId="20" xfId="0" applyFont="1" applyFill="1" applyBorder="1" applyAlignment="1">
      <alignment horizontal="center" wrapText="1"/>
    </xf>
    <xf numFmtId="0" fontId="8" fillId="11" borderId="20" xfId="0" applyFont="1" applyFill="1" applyBorder="1" applyAlignment="1">
      <alignment horizontal="center" wrapText="1"/>
    </xf>
    <xf numFmtId="0" fontId="10" fillId="11" borderId="22" xfId="0" applyFont="1" applyFill="1" applyBorder="1" applyAlignment="1">
      <alignment wrapText="1"/>
    </xf>
    <xf numFmtId="0" fontId="10" fillId="11" borderId="20" xfId="0" applyFont="1" applyFill="1" applyBorder="1" applyAlignment="1">
      <alignment horizontal="center" vertical="center" wrapText="1"/>
    </xf>
    <xf numFmtId="0" fontId="8" fillId="11" borderId="20" xfId="0" applyFont="1" applyFill="1" applyBorder="1" applyAlignment="1">
      <alignment horizontal="center" vertical="center" wrapText="1"/>
    </xf>
    <xf numFmtId="1" fontId="10" fillId="11" borderId="20" xfId="0" applyNumberFormat="1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wrapText="1"/>
    </xf>
    <xf numFmtId="0" fontId="8" fillId="11" borderId="12" xfId="0" applyFont="1" applyFill="1" applyBorder="1" applyAlignment="1">
      <alignment horizontal="center" vertical="center" wrapText="1"/>
    </xf>
    <xf numFmtId="0" fontId="8" fillId="13" borderId="1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29" xfId="0" applyFont="1" applyBorder="1" applyAlignment="1">
      <alignment wrapText="1"/>
    </xf>
    <xf numFmtId="0" fontId="8" fillId="13" borderId="22" xfId="0" applyFont="1" applyFill="1" applyBorder="1" applyAlignment="1">
      <alignment horizontal="center" vertical="center" wrapText="1"/>
    </xf>
    <xf numFmtId="1" fontId="10" fillId="13" borderId="20" xfId="0" applyNumberFormat="1" applyFont="1" applyFill="1" applyBorder="1" applyAlignment="1">
      <alignment horizontal="center" wrapText="1"/>
    </xf>
    <xf numFmtId="0" fontId="10" fillId="13" borderId="20" xfId="0" applyFont="1" applyFill="1" applyBorder="1" applyAlignment="1">
      <alignment horizontal="center" wrapText="1"/>
    </xf>
    <xf numFmtId="0" fontId="14" fillId="0" borderId="28" xfId="0" applyFont="1" applyBorder="1" applyAlignment="1">
      <alignment wrapText="1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4" fontId="10" fillId="0" borderId="20" xfId="0" applyNumberFormat="1" applyFont="1" applyBorder="1" applyAlignment="1">
      <alignment horizontal="center" vertical="center" wrapText="1"/>
    </xf>
    <xf numFmtId="0" fontId="14" fillId="0" borderId="19" xfId="0" applyFont="1" applyBorder="1" applyAlignment="1">
      <alignment vertical="center"/>
    </xf>
    <xf numFmtId="0" fontId="14" fillId="0" borderId="23" xfId="0" applyFont="1" applyBorder="1" applyAlignment="1">
      <alignment wrapText="1"/>
    </xf>
    <xf numFmtId="0" fontId="10" fillId="11" borderId="19" xfId="0" applyFont="1" applyFill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0" fontId="10" fillId="0" borderId="1" xfId="0" applyFont="1" applyBorder="1"/>
    <xf numFmtId="1" fontId="10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8" fillId="15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1" fontId="10" fillId="0" borderId="1" xfId="0" applyNumberFormat="1" applyFont="1" applyBorder="1"/>
    <xf numFmtId="10" fontId="10" fillId="0" borderId="1" xfId="0" applyNumberFormat="1" applyFont="1" applyBorder="1" applyAlignment="1">
      <alignment horizontal="right"/>
    </xf>
    <xf numFmtId="9" fontId="10" fillId="0" borderId="1" xfId="0" applyNumberFormat="1" applyFont="1" applyBorder="1" applyAlignment="1">
      <alignment horizontal="right"/>
    </xf>
    <xf numFmtId="166" fontId="10" fillId="0" borderId="1" xfId="0" applyNumberFormat="1" applyFont="1" applyBorder="1" applyAlignment="1">
      <alignment horizontal="right"/>
    </xf>
    <xf numFmtId="2" fontId="10" fillId="0" borderId="1" xfId="0" applyNumberFormat="1" applyFont="1" applyBorder="1" applyAlignment="1">
      <alignment horizontal="right"/>
    </xf>
    <xf numFmtId="0" fontId="20" fillId="2" borderId="1" xfId="0" applyFont="1" applyFill="1" applyBorder="1"/>
    <xf numFmtId="0" fontId="21" fillId="2" borderId="1" xfId="0" applyFont="1" applyFill="1" applyBorder="1" applyAlignment="1">
      <alignment horizontal="center"/>
    </xf>
    <xf numFmtId="1" fontId="21" fillId="2" borderId="1" xfId="0" applyNumberFormat="1" applyFont="1" applyFill="1" applyBorder="1" applyAlignment="1">
      <alignment horizontal="right"/>
    </xf>
    <xf numFmtId="0" fontId="21" fillId="2" borderId="1" xfId="0" applyFont="1" applyFill="1" applyBorder="1"/>
    <xf numFmtId="9" fontId="21" fillId="2" borderId="1" xfId="0" applyNumberFormat="1" applyFont="1" applyFill="1" applyBorder="1" applyAlignment="1">
      <alignment horizontal="right"/>
    </xf>
    <xf numFmtId="1" fontId="21" fillId="2" borderId="1" xfId="0" applyNumberFormat="1" applyFont="1" applyFill="1" applyBorder="1"/>
    <xf numFmtId="0" fontId="21" fillId="2" borderId="1" xfId="0" applyFont="1" applyFill="1" applyBorder="1" applyAlignment="1">
      <alignment horizontal="right"/>
    </xf>
    <xf numFmtId="9" fontId="21" fillId="2" borderId="1" xfId="0" applyNumberFormat="1" applyFont="1" applyFill="1" applyBorder="1"/>
    <xf numFmtId="0" fontId="22" fillId="0" borderId="0" xfId="0" applyFont="1"/>
    <xf numFmtId="1" fontId="21" fillId="0" borderId="0" xfId="0" applyNumberFormat="1" applyFont="1"/>
    <xf numFmtId="1" fontId="23" fillId="0" borderId="0" xfId="0" applyNumberFormat="1" applyFont="1"/>
    <xf numFmtId="0" fontId="20" fillId="4" borderId="8" xfId="0" applyFont="1" applyFill="1" applyBorder="1" applyAlignment="1">
      <alignment horizontal="center"/>
    </xf>
    <xf numFmtId="0" fontId="20" fillId="4" borderId="9" xfId="0" applyFont="1" applyFill="1" applyBorder="1" applyAlignment="1">
      <alignment horizontal="center"/>
    </xf>
    <xf numFmtId="0" fontId="21" fillId="0" borderId="10" xfId="0" applyFont="1" applyBorder="1"/>
    <xf numFmtId="0" fontId="21" fillId="0" borderId="9" xfId="0" applyFont="1" applyBorder="1" applyAlignment="1">
      <alignment horizontal="center"/>
    </xf>
    <xf numFmtId="0" fontId="21" fillId="0" borderId="9" xfId="0" applyFont="1" applyBorder="1"/>
    <xf numFmtId="164" fontId="21" fillId="0" borderId="9" xfId="0" applyNumberFormat="1" applyFont="1" applyBorder="1" applyAlignment="1">
      <alignment horizontal="right"/>
    </xf>
    <xf numFmtId="164" fontId="20" fillId="0" borderId="11" xfId="0" applyNumberFormat="1" applyFont="1" applyBorder="1" applyAlignment="1">
      <alignment horizontal="right"/>
    </xf>
    <xf numFmtId="0" fontId="22" fillId="0" borderId="10" xfId="0" applyFont="1" applyBorder="1"/>
    <xf numFmtId="0" fontId="22" fillId="0" borderId="9" xfId="0" applyFont="1" applyBorder="1"/>
    <xf numFmtId="164" fontId="22" fillId="0" borderId="9" xfId="0" applyNumberFormat="1" applyFont="1" applyBorder="1"/>
    <xf numFmtId="164" fontId="22" fillId="0" borderId="11" xfId="0" applyNumberFormat="1" applyFont="1" applyBorder="1"/>
    <xf numFmtId="164" fontId="20" fillId="3" borderId="9" xfId="0" applyNumberFormat="1" applyFont="1" applyFill="1" applyBorder="1" applyAlignment="1">
      <alignment horizontal="right"/>
    </xf>
    <xf numFmtId="3" fontId="29" fillId="2" borderId="18" xfId="0" applyNumberFormat="1" applyFont="1" applyFill="1" applyBorder="1" applyAlignment="1">
      <alignment horizontal="right" wrapText="1"/>
    </xf>
    <xf numFmtId="0" fontId="30" fillId="5" borderId="20" xfId="0" applyFont="1" applyFill="1" applyBorder="1" applyAlignment="1">
      <alignment horizontal="right" wrapText="1"/>
    </xf>
    <xf numFmtId="0" fontId="30" fillId="6" borderId="20" xfId="0" applyFont="1" applyFill="1" applyBorder="1" applyAlignment="1">
      <alignment horizontal="right" wrapText="1"/>
    </xf>
    <xf numFmtId="0" fontId="30" fillId="0" borderId="22" xfId="0" applyFont="1" applyBorder="1" applyAlignment="1">
      <alignment wrapText="1"/>
    </xf>
    <xf numFmtId="0" fontId="30" fillId="0" borderId="20" xfId="0" applyFont="1" applyBorder="1" applyAlignment="1">
      <alignment horizontal="right" wrapText="1"/>
    </xf>
    <xf numFmtId="3" fontId="30" fillId="7" borderId="20" xfId="0" applyNumberFormat="1" applyFont="1" applyFill="1" applyBorder="1" applyAlignment="1">
      <alignment horizontal="right" wrapText="1"/>
    </xf>
    <xf numFmtId="0" fontId="30" fillId="8" borderId="20" xfId="0" applyFont="1" applyFill="1" applyBorder="1" applyAlignment="1">
      <alignment horizontal="right" wrapText="1"/>
    </xf>
    <xf numFmtId="3" fontId="30" fillId="8" borderId="20" xfId="0" applyNumberFormat="1" applyFont="1" applyFill="1" applyBorder="1" applyAlignment="1">
      <alignment horizontal="right" wrapText="1"/>
    </xf>
    <xf numFmtId="3" fontId="30" fillId="0" borderId="20" xfId="0" applyNumberFormat="1" applyFont="1" applyBorder="1" applyAlignment="1">
      <alignment horizontal="right" wrapText="1"/>
    </xf>
    <xf numFmtId="0" fontId="30" fillId="9" borderId="20" xfId="0" applyFont="1" applyFill="1" applyBorder="1" applyAlignment="1">
      <alignment horizontal="right" wrapText="1"/>
    </xf>
    <xf numFmtId="0" fontId="30" fillId="0" borderId="13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3" fillId="0" borderId="0" xfId="0" applyFont="1"/>
    <xf numFmtId="3" fontId="29" fillId="2" borderId="20" xfId="0" applyNumberFormat="1" applyFont="1" applyFill="1" applyBorder="1" applyAlignment="1">
      <alignment horizontal="right" wrapText="1"/>
    </xf>
    <xf numFmtId="166" fontId="26" fillId="0" borderId="1" xfId="0" applyNumberFormat="1" applyFont="1" applyBorder="1" applyAlignment="1">
      <alignment horizontal="right"/>
    </xf>
    <xf numFmtId="0" fontId="2" fillId="0" borderId="0" xfId="0" applyFont="1"/>
    <xf numFmtId="0" fontId="21" fillId="0" borderId="22" xfId="0" applyFont="1" applyBorder="1" applyAlignment="1">
      <alignment wrapText="1"/>
    </xf>
    <xf numFmtId="0" fontId="1" fillId="0" borderId="0" xfId="0" applyFont="1"/>
    <xf numFmtId="0" fontId="10" fillId="0" borderId="22" xfId="0" applyFont="1" applyBorder="1" applyAlignment="1">
      <alignment wrapText="1"/>
    </xf>
    <xf numFmtId="3" fontId="0" fillId="0" borderId="0" xfId="0" applyNumberFormat="1"/>
    <xf numFmtId="0" fontId="32" fillId="11" borderId="22" xfId="0" applyFont="1" applyFill="1" applyBorder="1" applyAlignment="1">
      <alignment wrapText="1"/>
    </xf>
    <xf numFmtId="43" fontId="10" fillId="11" borderId="20" xfId="0" applyNumberFormat="1" applyFont="1" applyFill="1" applyBorder="1" applyAlignment="1">
      <alignment horizontal="center" vertical="center" wrapText="1"/>
    </xf>
    <xf numFmtId="3" fontId="10" fillId="11" borderId="20" xfId="0" applyNumberFormat="1" applyFont="1" applyFill="1" applyBorder="1" applyAlignment="1">
      <alignment horizontal="center" vertical="center" wrapText="1"/>
    </xf>
    <xf numFmtId="4" fontId="10" fillId="11" borderId="20" xfId="0" applyNumberFormat="1" applyFont="1" applyFill="1" applyBorder="1" applyAlignment="1">
      <alignment horizontal="center" vertical="center" wrapText="1"/>
    </xf>
    <xf numFmtId="0" fontId="34" fillId="0" borderId="0" xfId="0" applyFont="1"/>
    <xf numFmtId="0" fontId="10" fillId="0" borderId="20" xfId="1" applyNumberFormat="1" applyFont="1" applyBorder="1" applyAlignment="1">
      <alignment horizontal="right" wrapText="1"/>
    </xf>
    <xf numFmtId="0" fontId="10" fillId="0" borderId="20" xfId="2" applyNumberFormat="1" applyFont="1" applyBorder="1" applyAlignment="1">
      <alignment horizontal="center" wrapText="1"/>
    </xf>
    <xf numFmtId="0" fontId="8" fillId="13" borderId="20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 wrapText="1"/>
    </xf>
    <xf numFmtId="2" fontId="12" fillId="13" borderId="32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2" fontId="10" fillId="0" borderId="20" xfId="0" applyNumberFormat="1" applyFont="1" applyBorder="1" applyAlignment="1">
      <alignment horizontal="center" vertical="center" wrapText="1"/>
    </xf>
    <xf numFmtId="3" fontId="8" fillId="11" borderId="20" xfId="0" applyNumberFormat="1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/>
    </xf>
    <xf numFmtId="0" fontId="24" fillId="0" borderId="3" xfId="0" applyFont="1" applyBorder="1"/>
    <xf numFmtId="0" fontId="24" fillId="0" borderId="4" xfId="0" applyFont="1" applyBorder="1"/>
    <xf numFmtId="0" fontId="20" fillId="3" borderId="5" xfId="0" applyFont="1" applyFill="1" applyBorder="1" applyAlignment="1">
      <alignment horizontal="center"/>
    </xf>
    <xf numFmtId="0" fontId="24" fillId="0" borderId="6" xfId="0" applyFont="1" applyBorder="1"/>
    <xf numFmtId="0" fontId="24" fillId="0" borderId="7" xfId="0" applyFont="1" applyBorder="1"/>
    <xf numFmtId="0" fontId="20" fillId="0" borderId="5" xfId="0" applyFont="1" applyBorder="1"/>
    <xf numFmtId="0" fontId="21" fillId="0" borderId="5" xfId="0" applyFont="1" applyBorder="1"/>
    <xf numFmtId="0" fontId="25" fillId="0" borderId="5" xfId="0" applyFont="1" applyBorder="1" applyAlignment="1">
      <alignment horizontal="center"/>
    </xf>
    <xf numFmtId="4" fontId="27" fillId="0" borderId="12" xfId="0" applyNumberFormat="1" applyFont="1" applyBorder="1" applyAlignment="1">
      <alignment horizontal="left" wrapText="1"/>
    </xf>
    <xf numFmtId="0" fontId="28" fillId="0" borderId="13" xfId="0" applyFont="1" applyBorder="1"/>
    <xf numFmtId="0" fontId="28" fillId="0" borderId="14" xfId="0" applyFont="1" applyBorder="1"/>
    <xf numFmtId="0" fontId="29" fillId="2" borderId="15" xfId="0" applyFont="1" applyFill="1" applyBorder="1" applyAlignment="1">
      <alignment wrapText="1"/>
    </xf>
    <xf numFmtId="0" fontId="28" fillId="0" borderId="16" xfId="0" applyFont="1" applyBorder="1"/>
    <xf numFmtId="0" fontId="28" fillId="0" borderId="17" xfId="0" applyFont="1" applyBorder="1"/>
    <xf numFmtId="0" fontId="29" fillId="5" borderId="15" xfId="0" applyFont="1" applyFill="1" applyBorder="1" applyAlignment="1">
      <alignment wrapText="1"/>
    </xf>
    <xf numFmtId="0" fontId="30" fillId="6" borderId="15" xfId="0" applyFont="1" applyFill="1" applyBorder="1" applyAlignment="1">
      <alignment wrapText="1"/>
    </xf>
    <xf numFmtId="0" fontId="29" fillId="7" borderId="15" xfId="0" applyFont="1" applyFill="1" applyBorder="1" applyAlignment="1">
      <alignment wrapText="1"/>
    </xf>
    <xf numFmtId="0" fontId="30" fillId="8" borderId="15" xfId="0" applyFont="1" applyFill="1" applyBorder="1" applyAlignment="1">
      <alignment wrapText="1"/>
    </xf>
    <xf numFmtId="0" fontId="29" fillId="9" borderId="15" xfId="0" applyFont="1" applyFill="1" applyBorder="1" applyAlignment="1">
      <alignment wrapText="1"/>
    </xf>
    <xf numFmtId="4" fontId="11" fillId="0" borderId="21" xfId="0" applyNumberFormat="1" applyFont="1" applyBorder="1" applyAlignment="1">
      <alignment horizontal="left" vertical="center"/>
    </xf>
    <xf numFmtId="0" fontId="7" fillId="0" borderId="24" xfId="0" applyFont="1" applyBorder="1"/>
    <xf numFmtId="0" fontId="7" fillId="0" borderId="25" xfId="0" applyFont="1" applyBorder="1"/>
    <xf numFmtId="0" fontId="8" fillId="3" borderId="2" xfId="0" applyFont="1" applyFill="1" applyBorder="1" applyAlignment="1">
      <alignment horizontal="left" wrapText="1"/>
    </xf>
    <xf numFmtId="0" fontId="7" fillId="0" borderId="3" xfId="0" applyFont="1" applyBorder="1"/>
    <xf numFmtId="0" fontId="7" fillId="0" borderId="26" xfId="0" applyFont="1" applyBorder="1"/>
    <xf numFmtId="0" fontId="8" fillId="3" borderId="5" xfId="0" applyFont="1" applyFill="1" applyBorder="1" applyAlignment="1">
      <alignment horizontal="left" wrapText="1"/>
    </xf>
    <xf numFmtId="0" fontId="7" fillId="0" borderId="6" xfId="0" applyFont="1" applyBorder="1"/>
    <xf numFmtId="0" fontId="7" fillId="0" borderId="7" xfId="0" applyFont="1" applyBorder="1"/>
    <xf numFmtId="0" fontId="16" fillId="0" borderId="21" xfId="0" applyFont="1" applyBorder="1" applyAlignment="1">
      <alignment wrapText="1"/>
    </xf>
    <xf numFmtId="0" fontId="17" fillId="3" borderId="15" xfId="0" applyFont="1" applyFill="1" applyBorder="1" applyAlignment="1">
      <alignment horizontal="center" wrapText="1"/>
    </xf>
    <xf numFmtId="0" fontId="7" fillId="0" borderId="16" xfId="0" applyFont="1" applyBorder="1"/>
    <xf numFmtId="0" fontId="7" fillId="0" borderId="17" xfId="0" applyFont="1" applyBorder="1"/>
    <xf numFmtId="0" fontId="8" fillId="2" borderId="0" xfId="0" applyFont="1" applyFill="1" applyAlignment="1">
      <alignment horizontal="center"/>
    </xf>
    <xf numFmtId="0" fontId="0" fillId="0" borderId="0" xfId="0"/>
    <xf numFmtId="2" fontId="10" fillId="11" borderId="20" xfId="0" applyNumberFormat="1" applyFont="1" applyFill="1" applyBorder="1" applyAlignment="1">
      <alignment horizontal="center" vertical="center" wrapText="1"/>
    </xf>
    <xf numFmtId="0" fontId="35" fillId="0" borderId="20" xfId="0" applyFont="1" applyBorder="1" applyAlignment="1">
      <alignment horizontal="right" wrapText="1"/>
    </xf>
    <xf numFmtId="0" fontId="35" fillId="0" borderId="22" xfId="0" applyFont="1" applyBorder="1" applyAlignment="1">
      <alignment wrapText="1"/>
    </xf>
    <xf numFmtId="0" fontId="35" fillId="8" borderId="15" xfId="0" applyFont="1" applyFill="1" applyBorder="1" applyAlignment="1">
      <alignment wrapText="1"/>
    </xf>
    <xf numFmtId="0" fontId="35" fillId="8" borderId="20" xfId="0" applyFont="1" applyFill="1" applyBorder="1" applyAlignment="1">
      <alignment horizontal="right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4"/>
  <sheetViews>
    <sheetView workbookViewId="0">
      <selection activeCell="E26" sqref="E26"/>
    </sheetView>
  </sheetViews>
  <sheetFormatPr baseColWidth="10" defaultColWidth="12.5546875" defaultRowHeight="15" customHeight="1" x14ac:dyDescent="0.3"/>
  <cols>
    <col min="1" max="1" width="67" bestFit="1" customWidth="1"/>
  </cols>
  <sheetData>
    <row r="1" spans="1:3" ht="15" customHeight="1" x14ac:dyDescent="0.4">
      <c r="A1" s="1"/>
      <c r="B1" s="2"/>
      <c r="C1" s="3"/>
    </row>
    <row r="2" spans="1:3" ht="15" customHeight="1" x14ac:dyDescent="0.4">
      <c r="A2" s="1"/>
      <c r="B2" s="2"/>
      <c r="C2" s="3"/>
    </row>
    <row r="3" spans="1:3" ht="15" customHeight="1" x14ac:dyDescent="0.4">
      <c r="A3" s="1"/>
      <c r="B3" s="2"/>
      <c r="C3" s="3"/>
    </row>
    <row r="4" spans="1:3" ht="15" customHeight="1" x14ac:dyDescent="0.3">
      <c r="A4" s="106" t="s">
        <v>0</v>
      </c>
      <c r="B4" s="107" t="s">
        <v>1</v>
      </c>
      <c r="C4" s="108">
        <v>1340000</v>
      </c>
    </row>
    <row r="5" spans="1:3" ht="15" customHeight="1" x14ac:dyDescent="0.3">
      <c r="A5" s="109" t="s">
        <v>2</v>
      </c>
      <c r="B5" s="110">
        <v>0.7</v>
      </c>
      <c r="C5" s="108">
        <f t="shared" ref="C5:C7" si="0">C4*B5</f>
        <v>937999.99999999988</v>
      </c>
    </row>
    <row r="6" spans="1:3" ht="15" customHeight="1" x14ac:dyDescent="0.3">
      <c r="A6" s="109" t="s">
        <v>3</v>
      </c>
      <c r="B6" s="110">
        <v>0.6</v>
      </c>
      <c r="C6" s="108">
        <f t="shared" si="0"/>
        <v>562799.99999999988</v>
      </c>
    </row>
    <row r="7" spans="1:3" ht="15" customHeight="1" x14ac:dyDescent="0.3">
      <c r="A7" s="109" t="s">
        <v>4</v>
      </c>
      <c r="B7" s="110">
        <v>0.2</v>
      </c>
      <c r="C7" s="108">
        <f t="shared" si="0"/>
        <v>112559.99999999999</v>
      </c>
    </row>
    <row r="8" spans="1:3" ht="15" customHeight="1" x14ac:dyDescent="0.3">
      <c r="A8" s="106" t="s">
        <v>5</v>
      </c>
      <c r="B8" s="109"/>
      <c r="C8" s="111"/>
    </row>
    <row r="9" spans="1:3" ht="15" customHeight="1" x14ac:dyDescent="0.3">
      <c r="A9" s="109" t="s">
        <v>6</v>
      </c>
      <c r="B9" s="110">
        <v>0.1</v>
      </c>
      <c r="C9" s="108">
        <f>C7*B9</f>
        <v>11256</v>
      </c>
    </row>
    <row r="10" spans="1:3" ht="15" customHeight="1" x14ac:dyDescent="0.3">
      <c r="A10" s="106" t="s">
        <v>7</v>
      </c>
      <c r="B10" s="109"/>
      <c r="C10" s="111"/>
    </row>
    <row r="11" spans="1:3" ht="15" customHeight="1" x14ac:dyDescent="0.3">
      <c r="A11" s="109" t="s">
        <v>8</v>
      </c>
      <c r="B11" s="110">
        <v>0.7</v>
      </c>
      <c r="C11" s="112">
        <f>C9*B11</f>
        <v>7879.2</v>
      </c>
    </row>
    <row r="12" spans="1:3" ht="15" customHeight="1" x14ac:dyDescent="0.3">
      <c r="A12" s="106" t="s">
        <v>9</v>
      </c>
      <c r="B12" s="109"/>
      <c r="C12" s="111"/>
    </row>
    <row r="13" spans="1:3" ht="15" customHeight="1" x14ac:dyDescent="0.3">
      <c r="A13" s="109"/>
      <c r="B13" s="113"/>
      <c r="C13" s="111"/>
    </row>
    <row r="14" spans="1:3" ht="15" customHeight="1" x14ac:dyDescent="0.3">
      <c r="A14" s="109"/>
      <c r="B14" s="109"/>
      <c r="C14" s="111"/>
    </row>
    <row r="15" spans="1:3" ht="15" customHeight="1" x14ac:dyDescent="0.3">
      <c r="A15" s="109" t="s">
        <v>10</v>
      </c>
      <c r="B15" s="110">
        <v>0.05</v>
      </c>
      <c r="C15" s="108">
        <f>C11*B15</f>
        <v>393.96000000000004</v>
      </c>
    </row>
    <row r="16" spans="1:3" ht="15" customHeight="1" x14ac:dyDescent="0.3">
      <c r="A16" s="114" t="s">
        <v>11</v>
      </c>
      <c r="B16" s="114"/>
      <c r="C16" s="115"/>
    </row>
    <row r="17" spans="1:3" ht="15" customHeight="1" x14ac:dyDescent="0.3">
      <c r="A17" s="114" t="s">
        <v>12</v>
      </c>
      <c r="B17" s="114"/>
      <c r="C17" s="115"/>
    </row>
    <row r="18" spans="1:3" ht="15.6" x14ac:dyDescent="0.3">
      <c r="A18" s="114" t="s">
        <v>13</v>
      </c>
      <c r="B18" s="114"/>
      <c r="C18" s="116"/>
    </row>
    <row r="19" spans="1:3" ht="14.4" x14ac:dyDescent="0.3">
      <c r="C19" s="4"/>
    </row>
    <row r="20" spans="1:3" ht="14.4" x14ac:dyDescent="0.3">
      <c r="C20" s="4"/>
    </row>
    <row r="21" spans="1:3" ht="14.4" x14ac:dyDescent="0.3">
      <c r="C21" s="4"/>
    </row>
    <row r="22" spans="1:3" ht="14.4" x14ac:dyDescent="0.3">
      <c r="C22" s="4"/>
    </row>
    <row r="23" spans="1:3" ht="14.4" x14ac:dyDescent="0.3">
      <c r="C23" s="4"/>
    </row>
    <row r="24" spans="1:3" ht="14.4" x14ac:dyDescent="0.3">
      <c r="C24" s="4"/>
    </row>
    <row r="25" spans="1:3" ht="14.4" x14ac:dyDescent="0.3">
      <c r="C25" s="4"/>
    </row>
    <row r="26" spans="1:3" ht="14.4" x14ac:dyDescent="0.3">
      <c r="C26" s="4"/>
    </row>
    <row r="27" spans="1:3" ht="14.4" x14ac:dyDescent="0.3">
      <c r="C27" s="4"/>
    </row>
    <row r="28" spans="1:3" ht="14.4" x14ac:dyDescent="0.3">
      <c r="C28" s="4"/>
    </row>
    <row r="29" spans="1:3" ht="14.4" x14ac:dyDescent="0.3">
      <c r="C29" s="4"/>
    </row>
    <row r="30" spans="1:3" ht="14.4" x14ac:dyDescent="0.3">
      <c r="C30" s="4"/>
    </row>
    <row r="31" spans="1:3" ht="14.4" x14ac:dyDescent="0.3">
      <c r="C31" s="4"/>
    </row>
    <row r="32" spans="1:3" ht="14.4" x14ac:dyDescent="0.3">
      <c r="C32" s="4"/>
    </row>
    <row r="33" spans="3:3" ht="14.4" x14ac:dyDescent="0.3">
      <c r="C33" s="4"/>
    </row>
    <row r="34" spans="3:3" ht="14.4" x14ac:dyDescent="0.3">
      <c r="C34" s="4"/>
    </row>
    <row r="35" spans="3:3" ht="14.4" x14ac:dyDescent="0.3">
      <c r="C35" s="4"/>
    </row>
    <row r="36" spans="3:3" ht="14.4" x14ac:dyDescent="0.3">
      <c r="C36" s="4"/>
    </row>
    <row r="37" spans="3:3" ht="14.4" x14ac:dyDescent="0.3">
      <c r="C37" s="4"/>
    </row>
    <row r="38" spans="3:3" ht="14.4" x14ac:dyDescent="0.3">
      <c r="C38" s="4"/>
    </row>
    <row r="39" spans="3:3" ht="14.4" x14ac:dyDescent="0.3">
      <c r="C39" s="4"/>
    </row>
    <row r="40" spans="3:3" ht="14.4" x14ac:dyDescent="0.3">
      <c r="C40" s="4"/>
    </row>
    <row r="41" spans="3:3" ht="14.4" x14ac:dyDescent="0.3">
      <c r="C41" s="4"/>
    </row>
    <row r="42" spans="3:3" ht="14.4" x14ac:dyDescent="0.3">
      <c r="C42" s="4"/>
    </row>
    <row r="43" spans="3:3" ht="14.4" x14ac:dyDescent="0.3">
      <c r="C43" s="4"/>
    </row>
    <row r="44" spans="3:3" ht="14.4" x14ac:dyDescent="0.3">
      <c r="C44" s="4"/>
    </row>
    <row r="45" spans="3:3" ht="14.4" x14ac:dyDescent="0.3">
      <c r="C45" s="4"/>
    </row>
    <row r="46" spans="3:3" ht="14.4" x14ac:dyDescent="0.3">
      <c r="C46" s="4"/>
    </row>
    <row r="47" spans="3:3" ht="14.4" x14ac:dyDescent="0.3">
      <c r="C47" s="4"/>
    </row>
    <row r="48" spans="3:3" ht="14.4" x14ac:dyDescent="0.3">
      <c r="C48" s="4"/>
    </row>
    <row r="49" spans="3:3" ht="14.4" x14ac:dyDescent="0.3">
      <c r="C49" s="4"/>
    </row>
    <row r="50" spans="3:3" ht="14.4" x14ac:dyDescent="0.3">
      <c r="C50" s="4"/>
    </row>
    <row r="51" spans="3:3" ht="14.4" x14ac:dyDescent="0.3">
      <c r="C51" s="4"/>
    </row>
    <row r="52" spans="3:3" ht="14.4" x14ac:dyDescent="0.3">
      <c r="C52" s="4"/>
    </row>
    <row r="53" spans="3:3" ht="14.4" x14ac:dyDescent="0.3">
      <c r="C53" s="4"/>
    </row>
    <row r="54" spans="3:3" ht="14.4" x14ac:dyDescent="0.3">
      <c r="C54" s="4"/>
    </row>
    <row r="55" spans="3:3" ht="14.4" x14ac:dyDescent="0.3">
      <c r="C55" s="4"/>
    </row>
    <row r="56" spans="3:3" ht="14.4" x14ac:dyDescent="0.3">
      <c r="C56" s="4"/>
    </row>
    <row r="57" spans="3:3" ht="14.4" x14ac:dyDescent="0.3">
      <c r="C57" s="4"/>
    </row>
    <row r="58" spans="3:3" ht="14.4" x14ac:dyDescent="0.3">
      <c r="C58" s="4"/>
    </row>
    <row r="59" spans="3:3" ht="14.4" x14ac:dyDescent="0.3">
      <c r="C59" s="4"/>
    </row>
    <row r="60" spans="3:3" ht="14.4" x14ac:dyDescent="0.3">
      <c r="C60" s="4"/>
    </row>
    <row r="61" spans="3:3" ht="14.4" x14ac:dyDescent="0.3">
      <c r="C61" s="4"/>
    </row>
    <row r="62" spans="3:3" ht="14.4" x14ac:dyDescent="0.3">
      <c r="C62" s="4"/>
    </row>
    <row r="63" spans="3:3" ht="14.4" x14ac:dyDescent="0.3">
      <c r="C63" s="4"/>
    </row>
    <row r="64" spans="3:3" ht="14.4" x14ac:dyDescent="0.3">
      <c r="C64" s="4"/>
    </row>
    <row r="65" spans="3:3" ht="14.4" x14ac:dyDescent="0.3">
      <c r="C65" s="4"/>
    </row>
    <row r="66" spans="3:3" ht="14.4" x14ac:dyDescent="0.3">
      <c r="C66" s="4"/>
    </row>
    <row r="67" spans="3:3" ht="14.4" x14ac:dyDescent="0.3">
      <c r="C67" s="4"/>
    </row>
    <row r="68" spans="3:3" ht="14.4" x14ac:dyDescent="0.3">
      <c r="C68" s="4"/>
    </row>
    <row r="69" spans="3:3" ht="14.4" x14ac:dyDescent="0.3">
      <c r="C69" s="4"/>
    </row>
    <row r="70" spans="3:3" ht="14.4" x14ac:dyDescent="0.3">
      <c r="C70" s="4"/>
    </row>
    <row r="71" spans="3:3" ht="14.4" x14ac:dyDescent="0.3">
      <c r="C71" s="4"/>
    </row>
    <row r="72" spans="3:3" ht="14.4" x14ac:dyDescent="0.3">
      <c r="C72" s="4"/>
    </row>
    <row r="73" spans="3:3" ht="14.4" x14ac:dyDescent="0.3">
      <c r="C73" s="4"/>
    </row>
    <row r="74" spans="3:3" ht="14.4" x14ac:dyDescent="0.3">
      <c r="C74" s="4"/>
    </row>
    <row r="75" spans="3:3" ht="14.4" x14ac:dyDescent="0.3">
      <c r="C75" s="4"/>
    </row>
    <row r="76" spans="3:3" ht="14.4" x14ac:dyDescent="0.3">
      <c r="C76" s="4"/>
    </row>
    <row r="77" spans="3:3" ht="14.4" x14ac:dyDescent="0.3">
      <c r="C77" s="4"/>
    </row>
    <row r="78" spans="3:3" ht="14.4" x14ac:dyDescent="0.3">
      <c r="C78" s="4"/>
    </row>
    <row r="79" spans="3:3" ht="14.4" x14ac:dyDescent="0.3">
      <c r="C79" s="4"/>
    </row>
    <row r="80" spans="3:3" ht="14.4" x14ac:dyDescent="0.3">
      <c r="C80" s="4"/>
    </row>
    <row r="81" spans="3:3" ht="14.4" x14ac:dyDescent="0.3">
      <c r="C81" s="4"/>
    </row>
    <row r="82" spans="3:3" ht="14.4" x14ac:dyDescent="0.3">
      <c r="C82" s="4"/>
    </row>
    <row r="83" spans="3:3" ht="14.4" x14ac:dyDescent="0.3">
      <c r="C83" s="4"/>
    </row>
    <row r="84" spans="3:3" ht="14.4" x14ac:dyDescent="0.3">
      <c r="C84" s="4"/>
    </row>
    <row r="85" spans="3:3" ht="14.4" x14ac:dyDescent="0.3">
      <c r="C85" s="4"/>
    </row>
    <row r="86" spans="3:3" ht="14.4" x14ac:dyDescent="0.3">
      <c r="C86" s="4"/>
    </row>
    <row r="87" spans="3:3" ht="14.4" x14ac:dyDescent="0.3">
      <c r="C87" s="4"/>
    </row>
    <row r="88" spans="3:3" ht="14.4" x14ac:dyDescent="0.3">
      <c r="C88" s="4"/>
    </row>
    <row r="89" spans="3:3" ht="14.4" x14ac:dyDescent="0.3">
      <c r="C89" s="4"/>
    </row>
    <row r="90" spans="3:3" ht="14.4" x14ac:dyDescent="0.3">
      <c r="C90" s="4"/>
    </row>
    <row r="91" spans="3:3" ht="14.4" x14ac:dyDescent="0.3">
      <c r="C91" s="4"/>
    </row>
    <row r="92" spans="3:3" ht="14.4" x14ac:dyDescent="0.3">
      <c r="C92" s="4"/>
    </row>
    <row r="93" spans="3:3" ht="14.4" x14ac:dyDescent="0.3">
      <c r="C93" s="4"/>
    </row>
    <row r="94" spans="3:3" ht="14.4" x14ac:dyDescent="0.3">
      <c r="C94" s="4"/>
    </row>
    <row r="95" spans="3:3" ht="14.4" x14ac:dyDescent="0.3">
      <c r="C95" s="4"/>
    </row>
    <row r="96" spans="3:3" ht="14.4" x14ac:dyDescent="0.3">
      <c r="C96" s="4"/>
    </row>
    <row r="97" spans="3:3" ht="14.4" x14ac:dyDescent="0.3">
      <c r="C97" s="4"/>
    </row>
    <row r="98" spans="3:3" ht="14.4" x14ac:dyDescent="0.3">
      <c r="C98" s="4"/>
    </row>
    <row r="99" spans="3:3" ht="14.4" x14ac:dyDescent="0.3">
      <c r="C99" s="4"/>
    </row>
    <row r="100" spans="3:3" ht="14.4" x14ac:dyDescent="0.3">
      <c r="C100" s="4"/>
    </row>
    <row r="101" spans="3:3" ht="14.4" x14ac:dyDescent="0.3">
      <c r="C101" s="4"/>
    </row>
    <row r="102" spans="3:3" ht="14.4" x14ac:dyDescent="0.3">
      <c r="C102" s="4"/>
    </row>
    <row r="103" spans="3:3" ht="14.4" x14ac:dyDescent="0.3">
      <c r="C103" s="4"/>
    </row>
    <row r="104" spans="3:3" ht="14.4" x14ac:dyDescent="0.3">
      <c r="C104" s="4"/>
    </row>
    <row r="105" spans="3:3" ht="14.4" x14ac:dyDescent="0.3">
      <c r="C105" s="4"/>
    </row>
    <row r="106" spans="3:3" ht="14.4" x14ac:dyDescent="0.3">
      <c r="C106" s="4"/>
    </row>
    <row r="107" spans="3:3" ht="14.4" x14ac:dyDescent="0.3">
      <c r="C107" s="4"/>
    </row>
    <row r="108" spans="3:3" ht="14.4" x14ac:dyDescent="0.3">
      <c r="C108" s="4"/>
    </row>
    <row r="109" spans="3:3" ht="14.4" x14ac:dyDescent="0.3">
      <c r="C109" s="4"/>
    </row>
    <row r="110" spans="3:3" ht="14.4" x14ac:dyDescent="0.3">
      <c r="C110" s="4"/>
    </row>
    <row r="111" spans="3:3" ht="14.4" x14ac:dyDescent="0.3">
      <c r="C111" s="4"/>
    </row>
    <row r="112" spans="3:3" ht="14.4" x14ac:dyDescent="0.3">
      <c r="C112" s="4"/>
    </row>
    <row r="113" spans="3:3" ht="14.4" x14ac:dyDescent="0.3">
      <c r="C113" s="4"/>
    </row>
    <row r="114" spans="3:3" ht="14.4" x14ac:dyDescent="0.3">
      <c r="C114" s="4"/>
    </row>
    <row r="115" spans="3:3" ht="14.4" x14ac:dyDescent="0.3">
      <c r="C115" s="4"/>
    </row>
    <row r="116" spans="3:3" ht="14.4" x14ac:dyDescent="0.3">
      <c r="C116" s="4"/>
    </row>
    <row r="117" spans="3:3" ht="14.4" x14ac:dyDescent="0.3">
      <c r="C117" s="4"/>
    </row>
    <row r="118" spans="3:3" ht="14.4" x14ac:dyDescent="0.3">
      <c r="C118" s="4"/>
    </row>
    <row r="119" spans="3:3" ht="14.4" x14ac:dyDescent="0.3">
      <c r="C119" s="4"/>
    </row>
    <row r="120" spans="3:3" ht="14.4" x14ac:dyDescent="0.3">
      <c r="C120" s="4"/>
    </row>
    <row r="121" spans="3:3" ht="14.4" x14ac:dyDescent="0.3">
      <c r="C121" s="4"/>
    </row>
    <row r="122" spans="3:3" ht="14.4" x14ac:dyDescent="0.3">
      <c r="C122" s="4"/>
    </row>
    <row r="123" spans="3:3" ht="14.4" x14ac:dyDescent="0.3">
      <c r="C123" s="4"/>
    </row>
    <row r="124" spans="3:3" ht="14.4" x14ac:dyDescent="0.3">
      <c r="C124" s="4"/>
    </row>
    <row r="125" spans="3:3" ht="14.4" x14ac:dyDescent="0.3">
      <c r="C125" s="4"/>
    </row>
    <row r="126" spans="3:3" ht="14.4" x14ac:dyDescent="0.3">
      <c r="C126" s="4"/>
    </row>
    <row r="127" spans="3:3" ht="14.4" x14ac:dyDescent="0.3">
      <c r="C127" s="4"/>
    </row>
    <row r="128" spans="3:3" ht="14.4" x14ac:dyDescent="0.3">
      <c r="C128" s="4"/>
    </row>
    <row r="129" spans="3:3" ht="14.4" x14ac:dyDescent="0.3">
      <c r="C129" s="4"/>
    </row>
    <row r="130" spans="3:3" ht="14.4" x14ac:dyDescent="0.3">
      <c r="C130" s="4"/>
    </row>
    <row r="131" spans="3:3" ht="14.4" x14ac:dyDescent="0.3">
      <c r="C131" s="4"/>
    </row>
    <row r="132" spans="3:3" ht="14.4" x14ac:dyDescent="0.3">
      <c r="C132" s="4"/>
    </row>
    <row r="133" spans="3:3" ht="14.4" x14ac:dyDescent="0.3">
      <c r="C133" s="4"/>
    </row>
    <row r="134" spans="3:3" ht="14.4" x14ac:dyDescent="0.3">
      <c r="C134" s="4"/>
    </row>
    <row r="135" spans="3:3" ht="14.4" x14ac:dyDescent="0.3">
      <c r="C135" s="4"/>
    </row>
    <row r="136" spans="3:3" ht="14.4" x14ac:dyDescent="0.3">
      <c r="C136" s="4"/>
    </row>
    <row r="137" spans="3:3" ht="14.4" x14ac:dyDescent="0.3">
      <c r="C137" s="4"/>
    </row>
    <row r="138" spans="3:3" ht="14.4" x14ac:dyDescent="0.3">
      <c r="C138" s="4"/>
    </row>
    <row r="139" spans="3:3" ht="14.4" x14ac:dyDescent="0.3">
      <c r="C139" s="4"/>
    </row>
    <row r="140" spans="3:3" ht="14.4" x14ac:dyDescent="0.3">
      <c r="C140" s="4"/>
    </row>
    <row r="141" spans="3:3" ht="14.4" x14ac:dyDescent="0.3">
      <c r="C141" s="4"/>
    </row>
    <row r="142" spans="3:3" ht="14.4" x14ac:dyDescent="0.3">
      <c r="C142" s="4"/>
    </row>
    <row r="143" spans="3:3" ht="14.4" x14ac:dyDescent="0.3">
      <c r="C143" s="4"/>
    </row>
    <row r="144" spans="3:3" ht="14.4" x14ac:dyDescent="0.3">
      <c r="C144" s="4"/>
    </row>
    <row r="145" spans="3:3" ht="14.4" x14ac:dyDescent="0.3">
      <c r="C145" s="4"/>
    </row>
    <row r="146" spans="3:3" ht="14.4" x14ac:dyDescent="0.3">
      <c r="C146" s="4"/>
    </row>
    <row r="147" spans="3:3" ht="14.4" x14ac:dyDescent="0.3">
      <c r="C147" s="4"/>
    </row>
    <row r="148" spans="3:3" ht="14.4" x14ac:dyDescent="0.3">
      <c r="C148" s="4"/>
    </row>
    <row r="149" spans="3:3" ht="14.4" x14ac:dyDescent="0.3">
      <c r="C149" s="4"/>
    </row>
    <row r="150" spans="3:3" ht="14.4" x14ac:dyDescent="0.3">
      <c r="C150" s="4"/>
    </row>
    <row r="151" spans="3:3" ht="14.4" x14ac:dyDescent="0.3">
      <c r="C151" s="4"/>
    </row>
    <row r="152" spans="3:3" ht="14.4" x14ac:dyDescent="0.3">
      <c r="C152" s="4"/>
    </row>
    <row r="153" spans="3:3" ht="14.4" x14ac:dyDescent="0.3">
      <c r="C153" s="4"/>
    </row>
    <row r="154" spans="3:3" ht="14.4" x14ac:dyDescent="0.3">
      <c r="C154" s="4"/>
    </row>
    <row r="155" spans="3:3" ht="14.4" x14ac:dyDescent="0.3">
      <c r="C155" s="4"/>
    </row>
    <row r="156" spans="3:3" ht="14.4" x14ac:dyDescent="0.3">
      <c r="C156" s="4"/>
    </row>
    <row r="157" spans="3:3" ht="14.4" x14ac:dyDescent="0.3">
      <c r="C157" s="4"/>
    </row>
    <row r="158" spans="3:3" ht="14.4" x14ac:dyDescent="0.3">
      <c r="C158" s="4"/>
    </row>
    <row r="159" spans="3:3" ht="14.4" x14ac:dyDescent="0.3">
      <c r="C159" s="4"/>
    </row>
    <row r="160" spans="3:3" ht="14.4" x14ac:dyDescent="0.3">
      <c r="C160" s="4"/>
    </row>
    <row r="161" spans="3:3" ht="14.4" x14ac:dyDescent="0.3">
      <c r="C161" s="4"/>
    </row>
    <row r="162" spans="3:3" ht="14.4" x14ac:dyDescent="0.3">
      <c r="C162" s="4"/>
    </row>
    <row r="163" spans="3:3" ht="14.4" x14ac:dyDescent="0.3">
      <c r="C163" s="4"/>
    </row>
    <row r="164" spans="3:3" ht="14.4" x14ac:dyDescent="0.3">
      <c r="C164" s="4"/>
    </row>
    <row r="165" spans="3:3" ht="14.4" x14ac:dyDescent="0.3">
      <c r="C165" s="4"/>
    </row>
    <row r="166" spans="3:3" ht="14.4" x14ac:dyDescent="0.3">
      <c r="C166" s="4"/>
    </row>
    <row r="167" spans="3:3" ht="14.4" x14ac:dyDescent="0.3">
      <c r="C167" s="4"/>
    </row>
    <row r="168" spans="3:3" ht="14.4" x14ac:dyDescent="0.3">
      <c r="C168" s="4"/>
    </row>
    <row r="169" spans="3:3" ht="14.4" x14ac:dyDescent="0.3">
      <c r="C169" s="4"/>
    </row>
    <row r="170" spans="3:3" ht="14.4" x14ac:dyDescent="0.3">
      <c r="C170" s="4"/>
    </row>
    <row r="171" spans="3:3" ht="14.4" x14ac:dyDescent="0.3">
      <c r="C171" s="4"/>
    </row>
    <row r="172" spans="3:3" ht="14.4" x14ac:dyDescent="0.3">
      <c r="C172" s="4"/>
    </row>
    <row r="173" spans="3:3" ht="14.4" x14ac:dyDescent="0.3">
      <c r="C173" s="4"/>
    </row>
    <row r="174" spans="3:3" ht="14.4" x14ac:dyDescent="0.3">
      <c r="C174" s="4"/>
    </row>
    <row r="175" spans="3:3" ht="14.4" x14ac:dyDescent="0.3">
      <c r="C175" s="4"/>
    </row>
    <row r="176" spans="3:3" ht="14.4" x14ac:dyDescent="0.3">
      <c r="C176" s="4"/>
    </row>
    <row r="177" spans="3:3" ht="14.4" x14ac:dyDescent="0.3">
      <c r="C177" s="4"/>
    </row>
    <row r="178" spans="3:3" ht="14.4" x14ac:dyDescent="0.3">
      <c r="C178" s="4"/>
    </row>
    <row r="179" spans="3:3" ht="14.4" x14ac:dyDescent="0.3">
      <c r="C179" s="4"/>
    </row>
    <row r="180" spans="3:3" ht="14.4" x14ac:dyDescent="0.3">
      <c r="C180" s="4"/>
    </row>
    <row r="181" spans="3:3" ht="14.4" x14ac:dyDescent="0.3">
      <c r="C181" s="4"/>
    </row>
    <row r="182" spans="3:3" ht="14.4" x14ac:dyDescent="0.3">
      <c r="C182" s="4"/>
    </row>
    <row r="183" spans="3:3" ht="14.4" x14ac:dyDescent="0.3">
      <c r="C183" s="4"/>
    </row>
    <row r="184" spans="3:3" ht="14.4" x14ac:dyDescent="0.3">
      <c r="C184" s="4"/>
    </row>
    <row r="185" spans="3:3" ht="14.4" x14ac:dyDescent="0.3">
      <c r="C185" s="4"/>
    </row>
    <row r="186" spans="3:3" ht="14.4" x14ac:dyDescent="0.3">
      <c r="C186" s="4"/>
    </row>
    <row r="187" spans="3:3" ht="14.4" x14ac:dyDescent="0.3">
      <c r="C187" s="4"/>
    </row>
    <row r="188" spans="3:3" ht="14.4" x14ac:dyDescent="0.3">
      <c r="C188" s="4"/>
    </row>
    <row r="189" spans="3:3" ht="14.4" x14ac:dyDescent="0.3">
      <c r="C189" s="4"/>
    </row>
    <row r="190" spans="3:3" ht="14.4" x14ac:dyDescent="0.3">
      <c r="C190" s="4"/>
    </row>
    <row r="191" spans="3:3" ht="14.4" x14ac:dyDescent="0.3">
      <c r="C191" s="4"/>
    </row>
    <row r="192" spans="3:3" ht="14.4" x14ac:dyDescent="0.3">
      <c r="C192" s="4"/>
    </row>
    <row r="193" spans="3:3" ht="14.4" x14ac:dyDescent="0.3">
      <c r="C193" s="4"/>
    </row>
    <row r="194" spans="3:3" ht="14.4" x14ac:dyDescent="0.3">
      <c r="C194" s="4"/>
    </row>
    <row r="195" spans="3:3" ht="14.4" x14ac:dyDescent="0.3">
      <c r="C195" s="4"/>
    </row>
    <row r="196" spans="3:3" ht="14.4" x14ac:dyDescent="0.3">
      <c r="C196" s="4"/>
    </row>
    <row r="197" spans="3:3" ht="14.4" x14ac:dyDescent="0.3">
      <c r="C197" s="4"/>
    </row>
    <row r="198" spans="3:3" ht="14.4" x14ac:dyDescent="0.3">
      <c r="C198" s="4"/>
    </row>
    <row r="199" spans="3:3" ht="14.4" x14ac:dyDescent="0.3">
      <c r="C199" s="4"/>
    </row>
    <row r="200" spans="3:3" ht="14.4" x14ac:dyDescent="0.3">
      <c r="C200" s="4"/>
    </row>
    <row r="201" spans="3:3" ht="14.4" x14ac:dyDescent="0.3">
      <c r="C201" s="4"/>
    </row>
    <row r="202" spans="3:3" ht="14.4" x14ac:dyDescent="0.3">
      <c r="C202" s="4"/>
    </row>
    <row r="203" spans="3:3" ht="14.4" x14ac:dyDescent="0.3">
      <c r="C203" s="4"/>
    </row>
    <row r="204" spans="3:3" ht="14.4" x14ac:dyDescent="0.3">
      <c r="C204" s="4"/>
    </row>
    <row r="205" spans="3:3" ht="14.4" x14ac:dyDescent="0.3">
      <c r="C205" s="4"/>
    </row>
    <row r="206" spans="3:3" ht="14.4" x14ac:dyDescent="0.3">
      <c r="C206" s="4"/>
    </row>
    <row r="207" spans="3:3" ht="14.4" x14ac:dyDescent="0.3">
      <c r="C207" s="4"/>
    </row>
    <row r="208" spans="3:3" ht="14.4" x14ac:dyDescent="0.3">
      <c r="C208" s="4"/>
    </row>
    <row r="209" spans="3:3" ht="14.4" x14ac:dyDescent="0.3">
      <c r="C209" s="4"/>
    </row>
    <row r="210" spans="3:3" ht="14.4" x14ac:dyDescent="0.3">
      <c r="C210" s="4"/>
    </row>
    <row r="211" spans="3:3" ht="14.4" x14ac:dyDescent="0.3">
      <c r="C211" s="4"/>
    </row>
    <row r="212" spans="3:3" ht="14.4" x14ac:dyDescent="0.3">
      <c r="C212" s="4"/>
    </row>
    <row r="213" spans="3:3" ht="14.4" x14ac:dyDescent="0.3">
      <c r="C213" s="4"/>
    </row>
    <row r="214" spans="3:3" ht="14.4" x14ac:dyDescent="0.3">
      <c r="C214" s="4"/>
    </row>
    <row r="215" spans="3:3" ht="14.4" x14ac:dyDescent="0.3">
      <c r="C215" s="4"/>
    </row>
    <row r="216" spans="3:3" ht="14.4" x14ac:dyDescent="0.3">
      <c r="C216" s="4"/>
    </row>
    <row r="217" spans="3:3" ht="14.4" x14ac:dyDescent="0.3">
      <c r="C217" s="4"/>
    </row>
    <row r="218" spans="3:3" ht="14.4" x14ac:dyDescent="0.3">
      <c r="C218" s="4"/>
    </row>
    <row r="219" spans="3:3" ht="14.4" x14ac:dyDescent="0.3">
      <c r="C219" s="4"/>
    </row>
    <row r="220" spans="3:3" ht="14.4" x14ac:dyDescent="0.3">
      <c r="C220" s="4"/>
    </row>
    <row r="221" spans="3:3" ht="14.4" x14ac:dyDescent="0.3">
      <c r="C221" s="4"/>
    </row>
    <row r="222" spans="3:3" ht="14.4" x14ac:dyDescent="0.3">
      <c r="C222" s="4"/>
    </row>
    <row r="223" spans="3:3" ht="14.4" x14ac:dyDescent="0.3">
      <c r="C223" s="4"/>
    </row>
    <row r="224" spans="3:3" ht="14.4" x14ac:dyDescent="0.3">
      <c r="C224" s="4"/>
    </row>
    <row r="225" spans="3:3" ht="14.4" x14ac:dyDescent="0.3">
      <c r="C225" s="4"/>
    </row>
    <row r="226" spans="3:3" ht="14.4" x14ac:dyDescent="0.3">
      <c r="C226" s="4"/>
    </row>
    <row r="227" spans="3:3" ht="14.4" x14ac:dyDescent="0.3">
      <c r="C227" s="4"/>
    </row>
    <row r="228" spans="3:3" ht="14.4" x14ac:dyDescent="0.3">
      <c r="C228" s="4"/>
    </row>
    <row r="229" spans="3:3" ht="14.4" x14ac:dyDescent="0.3">
      <c r="C229" s="4"/>
    </row>
    <row r="230" spans="3:3" ht="14.4" x14ac:dyDescent="0.3">
      <c r="C230" s="4"/>
    </row>
    <row r="231" spans="3:3" ht="14.4" x14ac:dyDescent="0.3">
      <c r="C231" s="4"/>
    </row>
    <row r="232" spans="3:3" ht="14.4" x14ac:dyDescent="0.3">
      <c r="C232" s="4"/>
    </row>
    <row r="233" spans="3:3" ht="14.4" x14ac:dyDescent="0.3">
      <c r="C233" s="4"/>
    </row>
    <row r="234" spans="3:3" ht="14.4" x14ac:dyDescent="0.3">
      <c r="C234" s="4"/>
    </row>
    <row r="235" spans="3:3" ht="14.4" x14ac:dyDescent="0.3">
      <c r="C235" s="4"/>
    </row>
    <row r="236" spans="3:3" ht="14.4" x14ac:dyDescent="0.3">
      <c r="C236" s="4"/>
    </row>
    <row r="237" spans="3:3" ht="14.4" x14ac:dyDescent="0.3">
      <c r="C237" s="4"/>
    </row>
    <row r="238" spans="3:3" ht="14.4" x14ac:dyDescent="0.3">
      <c r="C238" s="4"/>
    </row>
    <row r="239" spans="3:3" ht="14.4" x14ac:dyDescent="0.3">
      <c r="C239" s="4"/>
    </row>
    <row r="240" spans="3:3" ht="14.4" x14ac:dyDescent="0.3">
      <c r="C240" s="4"/>
    </row>
    <row r="241" spans="3:3" ht="14.4" x14ac:dyDescent="0.3">
      <c r="C241" s="4"/>
    </row>
    <row r="242" spans="3:3" ht="14.4" x14ac:dyDescent="0.3">
      <c r="C242" s="4"/>
    </row>
    <row r="243" spans="3:3" ht="14.4" x14ac:dyDescent="0.3">
      <c r="C243" s="4"/>
    </row>
    <row r="244" spans="3:3" ht="14.4" x14ac:dyDescent="0.3">
      <c r="C244" s="4"/>
    </row>
    <row r="245" spans="3:3" ht="14.4" x14ac:dyDescent="0.3">
      <c r="C245" s="4"/>
    </row>
    <row r="246" spans="3:3" ht="14.4" x14ac:dyDescent="0.3">
      <c r="C246" s="4"/>
    </row>
    <row r="247" spans="3:3" ht="14.4" x14ac:dyDescent="0.3">
      <c r="C247" s="4"/>
    </row>
    <row r="248" spans="3:3" ht="14.4" x14ac:dyDescent="0.3">
      <c r="C248" s="4"/>
    </row>
    <row r="249" spans="3:3" ht="14.4" x14ac:dyDescent="0.3">
      <c r="C249" s="4"/>
    </row>
    <row r="250" spans="3:3" ht="14.4" x14ac:dyDescent="0.3">
      <c r="C250" s="4"/>
    </row>
    <row r="251" spans="3:3" ht="14.4" x14ac:dyDescent="0.3">
      <c r="C251" s="4"/>
    </row>
    <row r="252" spans="3:3" ht="14.4" x14ac:dyDescent="0.3">
      <c r="C252" s="4"/>
    </row>
    <row r="253" spans="3:3" ht="14.4" x14ac:dyDescent="0.3">
      <c r="C253" s="4"/>
    </row>
    <row r="254" spans="3:3" ht="14.4" x14ac:dyDescent="0.3">
      <c r="C254" s="4"/>
    </row>
    <row r="255" spans="3:3" ht="14.4" x14ac:dyDescent="0.3">
      <c r="C255" s="4"/>
    </row>
    <row r="256" spans="3:3" ht="14.4" x14ac:dyDescent="0.3">
      <c r="C256" s="4"/>
    </row>
    <row r="257" spans="3:3" ht="14.4" x14ac:dyDescent="0.3">
      <c r="C257" s="4"/>
    </row>
    <row r="258" spans="3:3" ht="14.4" x14ac:dyDescent="0.3">
      <c r="C258" s="4"/>
    </row>
    <row r="259" spans="3:3" ht="14.4" x14ac:dyDescent="0.3">
      <c r="C259" s="4"/>
    </row>
    <row r="260" spans="3:3" ht="14.4" x14ac:dyDescent="0.3">
      <c r="C260" s="4"/>
    </row>
    <row r="261" spans="3:3" ht="14.4" x14ac:dyDescent="0.3">
      <c r="C261" s="4"/>
    </row>
    <row r="262" spans="3:3" ht="14.4" x14ac:dyDescent="0.3">
      <c r="C262" s="4"/>
    </row>
    <row r="263" spans="3:3" ht="14.4" x14ac:dyDescent="0.3">
      <c r="C263" s="4"/>
    </row>
    <row r="264" spans="3:3" ht="14.4" x14ac:dyDescent="0.3">
      <c r="C264" s="4"/>
    </row>
    <row r="265" spans="3:3" ht="14.4" x14ac:dyDescent="0.3">
      <c r="C265" s="4"/>
    </row>
    <row r="266" spans="3:3" ht="14.4" x14ac:dyDescent="0.3">
      <c r="C266" s="4"/>
    </row>
    <row r="267" spans="3:3" ht="14.4" x14ac:dyDescent="0.3">
      <c r="C267" s="4"/>
    </row>
    <row r="268" spans="3:3" ht="14.4" x14ac:dyDescent="0.3">
      <c r="C268" s="4"/>
    </row>
    <row r="269" spans="3:3" ht="14.4" x14ac:dyDescent="0.3">
      <c r="C269" s="4"/>
    </row>
    <row r="270" spans="3:3" ht="14.4" x14ac:dyDescent="0.3">
      <c r="C270" s="4"/>
    </row>
    <row r="271" spans="3:3" ht="14.4" x14ac:dyDescent="0.3">
      <c r="C271" s="4"/>
    </row>
    <row r="272" spans="3:3" ht="14.4" x14ac:dyDescent="0.3">
      <c r="C272" s="4"/>
    </row>
    <row r="273" spans="3:3" ht="14.4" x14ac:dyDescent="0.3">
      <c r="C273" s="4"/>
    </row>
    <row r="274" spans="3:3" ht="14.4" x14ac:dyDescent="0.3">
      <c r="C274" s="4"/>
    </row>
    <row r="275" spans="3:3" ht="14.4" x14ac:dyDescent="0.3">
      <c r="C275" s="4"/>
    </row>
    <row r="276" spans="3:3" ht="14.4" x14ac:dyDescent="0.3">
      <c r="C276" s="4"/>
    </row>
    <row r="277" spans="3:3" ht="14.4" x14ac:dyDescent="0.3">
      <c r="C277" s="4"/>
    </row>
    <row r="278" spans="3:3" ht="14.4" x14ac:dyDescent="0.3">
      <c r="C278" s="4"/>
    </row>
    <row r="279" spans="3:3" ht="14.4" x14ac:dyDescent="0.3">
      <c r="C279" s="4"/>
    </row>
    <row r="280" spans="3:3" ht="14.4" x14ac:dyDescent="0.3">
      <c r="C280" s="4"/>
    </row>
    <row r="281" spans="3:3" ht="14.4" x14ac:dyDescent="0.3">
      <c r="C281" s="4"/>
    </row>
    <row r="282" spans="3:3" ht="14.4" x14ac:dyDescent="0.3">
      <c r="C282" s="4"/>
    </row>
    <row r="283" spans="3:3" ht="14.4" x14ac:dyDescent="0.3">
      <c r="C283" s="4"/>
    </row>
    <row r="284" spans="3:3" ht="14.4" x14ac:dyDescent="0.3">
      <c r="C284" s="4"/>
    </row>
    <row r="285" spans="3:3" ht="14.4" x14ac:dyDescent="0.3">
      <c r="C285" s="4"/>
    </row>
    <row r="286" spans="3:3" ht="14.4" x14ac:dyDescent="0.3">
      <c r="C286" s="4"/>
    </row>
    <row r="287" spans="3:3" ht="14.4" x14ac:dyDescent="0.3">
      <c r="C287" s="4"/>
    </row>
    <row r="288" spans="3:3" ht="14.4" x14ac:dyDescent="0.3">
      <c r="C288" s="4"/>
    </row>
    <row r="289" spans="3:3" ht="14.4" x14ac:dyDescent="0.3">
      <c r="C289" s="4"/>
    </row>
    <row r="290" spans="3:3" ht="14.4" x14ac:dyDescent="0.3">
      <c r="C290" s="4"/>
    </row>
    <row r="291" spans="3:3" ht="14.4" x14ac:dyDescent="0.3">
      <c r="C291" s="4"/>
    </row>
    <row r="292" spans="3:3" ht="14.4" x14ac:dyDescent="0.3">
      <c r="C292" s="4"/>
    </row>
    <row r="293" spans="3:3" ht="14.4" x14ac:dyDescent="0.3">
      <c r="C293" s="4"/>
    </row>
    <row r="294" spans="3:3" ht="14.4" x14ac:dyDescent="0.3">
      <c r="C294" s="4"/>
    </row>
    <row r="295" spans="3:3" ht="14.4" x14ac:dyDescent="0.3">
      <c r="C295" s="4"/>
    </row>
    <row r="296" spans="3:3" ht="14.4" x14ac:dyDescent="0.3">
      <c r="C296" s="4"/>
    </row>
    <row r="297" spans="3:3" ht="14.4" x14ac:dyDescent="0.3">
      <c r="C297" s="4"/>
    </row>
    <row r="298" spans="3:3" ht="14.4" x14ac:dyDescent="0.3">
      <c r="C298" s="4"/>
    </row>
    <row r="299" spans="3:3" ht="14.4" x14ac:dyDescent="0.3">
      <c r="C299" s="4"/>
    </row>
    <row r="300" spans="3:3" ht="14.4" x14ac:dyDescent="0.3">
      <c r="C300" s="4"/>
    </row>
    <row r="301" spans="3:3" ht="14.4" x14ac:dyDescent="0.3">
      <c r="C301" s="4"/>
    </row>
    <row r="302" spans="3:3" ht="14.4" x14ac:dyDescent="0.3">
      <c r="C302" s="4"/>
    </row>
    <row r="303" spans="3:3" ht="14.4" x14ac:dyDescent="0.3">
      <c r="C303" s="4"/>
    </row>
    <row r="304" spans="3:3" ht="14.4" x14ac:dyDescent="0.3">
      <c r="C304" s="4"/>
    </row>
    <row r="305" spans="3:3" ht="14.4" x14ac:dyDescent="0.3">
      <c r="C305" s="4"/>
    </row>
    <row r="306" spans="3:3" ht="14.4" x14ac:dyDescent="0.3">
      <c r="C306" s="4"/>
    </row>
    <row r="307" spans="3:3" ht="14.4" x14ac:dyDescent="0.3">
      <c r="C307" s="4"/>
    </row>
    <row r="308" spans="3:3" ht="14.4" x14ac:dyDescent="0.3">
      <c r="C308" s="4"/>
    </row>
    <row r="309" spans="3:3" ht="14.4" x14ac:dyDescent="0.3">
      <c r="C309" s="4"/>
    </row>
    <row r="310" spans="3:3" ht="14.4" x14ac:dyDescent="0.3">
      <c r="C310" s="4"/>
    </row>
    <row r="311" spans="3:3" ht="14.4" x14ac:dyDescent="0.3">
      <c r="C311" s="4"/>
    </row>
    <row r="312" spans="3:3" ht="14.4" x14ac:dyDescent="0.3">
      <c r="C312" s="4"/>
    </row>
    <row r="313" spans="3:3" ht="14.4" x14ac:dyDescent="0.3">
      <c r="C313" s="4"/>
    </row>
    <row r="314" spans="3:3" ht="14.4" x14ac:dyDescent="0.3">
      <c r="C314" s="4"/>
    </row>
    <row r="315" spans="3:3" ht="14.4" x14ac:dyDescent="0.3">
      <c r="C315" s="4"/>
    </row>
    <row r="316" spans="3:3" ht="14.4" x14ac:dyDescent="0.3">
      <c r="C316" s="4"/>
    </row>
    <row r="317" spans="3:3" ht="14.4" x14ac:dyDescent="0.3">
      <c r="C317" s="4"/>
    </row>
    <row r="318" spans="3:3" ht="14.4" x14ac:dyDescent="0.3">
      <c r="C318" s="4"/>
    </row>
    <row r="319" spans="3:3" ht="14.4" x14ac:dyDescent="0.3">
      <c r="C319" s="4"/>
    </row>
    <row r="320" spans="3:3" ht="14.4" x14ac:dyDescent="0.3">
      <c r="C320" s="4"/>
    </row>
    <row r="321" spans="3:3" ht="14.4" x14ac:dyDescent="0.3">
      <c r="C321" s="4"/>
    </row>
    <row r="322" spans="3:3" ht="14.4" x14ac:dyDescent="0.3">
      <c r="C322" s="4"/>
    </row>
    <row r="323" spans="3:3" ht="14.4" x14ac:dyDescent="0.3">
      <c r="C323" s="4"/>
    </row>
    <row r="324" spans="3:3" ht="14.4" x14ac:dyDescent="0.3">
      <c r="C324" s="4"/>
    </row>
    <row r="325" spans="3:3" ht="14.4" x14ac:dyDescent="0.3">
      <c r="C325" s="4"/>
    </row>
    <row r="326" spans="3:3" ht="14.4" x14ac:dyDescent="0.3">
      <c r="C326" s="4"/>
    </row>
    <row r="327" spans="3:3" ht="14.4" x14ac:dyDescent="0.3">
      <c r="C327" s="4"/>
    </row>
    <row r="328" spans="3:3" ht="14.4" x14ac:dyDescent="0.3">
      <c r="C328" s="4"/>
    </row>
    <row r="329" spans="3:3" ht="14.4" x14ac:dyDescent="0.3">
      <c r="C329" s="4"/>
    </row>
    <row r="330" spans="3:3" ht="14.4" x14ac:dyDescent="0.3">
      <c r="C330" s="4"/>
    </row>
    <row r="331" spans="3:3" ht="14.4" x14ac:dyDescent="0.3">
      <c r="C331" s="4"/>
    </row>
    <row r="332" spans="3:3" ht="14.4" x14ac:dyDescent="0.3">
      <c r="C332" s="4"/>
    </row>
    <row r="333" spans="3:3" ht="14.4" x14ac:dyDescent="0.3">
      <c r="C333" s="4"/>
    </row>
    <row r="334" spans="3:3" ht="14.4" x14ac:dyDescent="0.3">
      <c r="C334" s="4"/>
    </row>
    <row r="335" spans="3:3" ht="14.4" x14ac:dyDescent="0.3">
      <c r="C335" s="4"/>
    </row>
    <row r="336" spans="3:3" ht="14.4" x14ac:dyDescent="0.3">
      <c r="C336" s="4"/>
    </row>
    <row r="337" spans="3:3" ht="14.4" x14ac:dyDescent="0.3">
      <c r="C337" s="4"/>
    </row>
    <row r="338" spans="3:3" ht="14.4" x14ac:dyDescent="0.3">
      <c r="C338" s="4"/>
    </row>
    <row r="339" spans="3:3" ht="14.4" x14ac:dyDescent="0.3">
      <c r="C339" s="4"/>
    </row>
    <row r="340" spans="3:3" ht="14.4" x14ac:dyDescent="0.3">
      <c r="C340" s="4"/>
    </row>
    <row r="341" spans="3:3" ht="14.4" x14ac:dyDescent="0.3">
      <c r="C341" s="4"/>
    </row>
    <row r="342" spans="3:3" ht="14.4" x14ac:dyDescent="0.3">
      <c r="C342" s="4"/>
    </row>
    <row r="343" spans="3:3" ht="14.4" x14ac:dyDescent="0.3">
      <c r="C343" s="4"/>
    </row>
    <row r="344" spans="3:3" ht="14.4" x14ac:dyDescent="0.3">
      <c r="C344" s="4"/>
    </row>
    <row r="345" spans="3:3" ht="14.4" x14ac:dyDescent="0.3">
      <c r="C345" s="4"/>
    </row>
    <row r="346" spans="3:3" ht="14.4" x14ac:dyDescent="0.3">
      <c r="C346" s="4"/>
    </row>
    <row r="347" spans="3:3" ht="14.4" x14ac:dyDescent="0.3">
      <c r="C347" s="4"/>
    </row>
    <row r="348" spans="3:3" ht="14.4" x14ac:dyDescent="0.3">
      <c r="C348" s="4"/>
    </row>
    <row r="349" spans="3:3" ht="14.4" x14ac:dyDescent="0.3">
      <c r="C349" s="4"/>
    </row>
    <row r="350" spans="3:3" ht="14.4" x14ac:dyDescent="0.3">
      <c r="C350" s="4"/>
    </row>
    <row r="351" spans="3:3" ht="14.4" x14ac:dyDescent="0.3">
      <c r="C351" s="4"/>
    </row>
    <row r="352" spans="3:3" ht="14.4" x14ac:dyDescent="0.3">
      <c r="C352" s="4"/>
    </row>
    <row r="353" spans="3:3" ht="14.4" x14ac:dyDescent="0.3">
      <c r="C353" s="4"/>
    </row>
    <row r="354" spans="3:3" ht="14.4" x14ac:dyDescent="0.3">
      <c r="C354" s="4"/>
    </row>
    <row r="355" spans="3:3" ht="14.4" x14ac:dyDescent="0.3">
      <c r="C355" s="4"/>
    </row>
    <row r="356" spans="3:3" ht="14.4" x14ac:dyDescent="0.3">
      <c r="C356" s="4"/>
    </row>
    <row r="357" spans="3:3" ht="14.4" x14ac:dyDescent="0.3">
      <c r="C357" s="4"/>
    </row>
    <row r="358" spans="3:3" ht="14.4" x14ac:dyDescent="0.3">
      <c r="C358" s="4"/>
    </row>
    <row r="359" spans="3:3" ht="14.4" x14ac:dyDescent="0.3">
      <c r="C359" s="4"/>
    </row>
    <row r="360" spans="3:3" ht="14.4" x14ac:dyDescent="0.3">
      <c r="C360" s="4"/>
    </row>
    <row r="361" spans="3:3" ht="14.4" x14ac:dyDescent="0.3">
      <c r="C361" s="4"/>
    </row>
    <row r="362" spans="3:3" ht="14.4" x14ac:dyDescent="0.3">
      <c r="C362" s="4"/>
    </row>
    <row r="363" spans="3:3" ht="14.4" x14ac:dyDescent="0.3">
      <c r="C363" s="4"/>
    </row>
    <row r="364" spans="3:3" ht="14.4" x14ac:dyDescent="0.3">
      <c r="C364" s="4"/>
    </row>
    <row r="365" spans="3:3" ht="14.4" x14ac:dyDescent="0.3">
      <c r="C365" s="4"/>
    </row>
    <row r="366" spans="3:3" ht="14.4" x14ac:dyDescent="0.3">
      <c r="C366" s="4"/>
    </row>
    <row r="367" spans="3:3" ht="14.4" x14ac:dyDescent="0.3">
      <c r="C367" s="4"/>
    </row>
    <row r="368" spans="3:3" ht="14.4" x14ac:dyDescent="0.3">
      <c r="C368" s="4"/>
    </row>
    <row r="369" spans="3:3" ht="14.4" x14ac:dyDescent="0.3">
      <c r="C369" s="4"/>
    </row>
    <row r="370" spans="3:3" ht="14.4" x14ac:dyDescent="0.3">
      <c r="C370" s="4"/>
    </row>
    <row r="371" spans="3:3" ht="14.4" x14ac:dyDescent="0.3">
      <c r="C371" s="4"/>
    </row>
    <row r="372" spans="3:3" ht="14.4" x14ac:dyDescent="0.3">
      <c r="C372" s="4"/>
    </row>
    <row r="373" spans="3:3" ht="14.4" x14ac:dyDescent="0.3">
      <c r="C373" s="4"/>
    </row>
    <row r="374" spans="3:3" ht="14.4" x14ac:dyDescent="0.3">
      <c r="C374" s="4"/>
    </row>
    <row r="375" spans="3:3" ht="14.4" x14ac:dyDescent="0.3">
      <c r="C375" s="4"/>
    </row>
    <row r="376" spans="3:3" ht="14.4" x14ac:dyDescent="0.3">
      <c r="C376" s="4"/>
    </row>
    <row r="377" spans="3:3" ht="14.4" x14ac:dyDescent="0.3">
      <c r="C377" s="4"/>
    </row>
    <row r="378" spans="3:3" ht="14.4" x14ac:dyDescent="0.3">
      <c r="C378" s="4"/>
    </row>
    <row r="379" spans="3:3" ht="14.4" x14ac:dyDescent="0.3">
      <c r="C379" s="4"/>
    </row>
    <row r="380" spans="3:3" ht="14.4" x14ac:dyDescent="0.3">
      <c r="C380" s="4"/>
    </row>
    <row r="381" spans="3:3" ht="14.4" x14ac:dyDescent="0.3">
      <c r="C381" s="4"/>
    </row>
    <row r="382" spans="3:3" ht="14.4" x14ac:dyDescent="0.3">
      <c r="C382" s="4"/>
    </row>
    <row r="383" spans="3:3" ht="14.4" x14ac:dyDescent="0.3">
      <c r="C383" s="4"/>
    </row>
    <row r="384" spans="3:3" ht="14.4" x14ac:dyDescent="0.3">
      <c r="C384" s="4"/>
    </row>
    <row r="385" spans="3:3" ht="14.4" x14ac:dyDescent="0.3">
      <c r="C385" s="4"/>
    </row>
    <row r="386" spans="3:3" ht="14.4" x14ac:dyDescent="0.3">
      <c r="C386" s="4"/>
    </row>
    <row r="387" spans="3:3" ht="14.4" x14ac:dyDescent="0.3">
      <c r="C387" s="4"/>
    </row>
    <row r="388" spans="3:3" ht="14.4" x14ac:dyDescent="0.3">
      <c r="C388" s="4"/>
    </row>
    <row r="389" spans="3:3" ht="14.4" x14ac:dyDescent="0.3">
      <c r="C389" s="4"/>
    </row>
    <row r="390" spans="3:3" ht="14.4" x14ac:dyDescent="0.3">
      <c r="C390" s="4"/>
    </row>
    <row r="391" spans="3:3" ht="14.4" x14ac:dyDescent="0.3">
      <c r="C391" s="4"/>
    </row>
    <row r="392" spans="3:3" ht="14.4" x14ac:dyDescent="0.3">
      <c r="C392" s="4"/>
    </row>
    <row r="393" spans="3:3" ht="14.4" x14ac:dyDescent="0.3">
      <c r="C393" s="4"/>
    </row>
    <row r="394" spans="3:3" ht="14.4" x14ac:dyDescent="0.3">
      <c r="C394" s="4"/>
    </row>
    <row r="395" spans="3:3" ht="14.4" x14ac:dyDescent="0.3">
      <c r="C395" s="4"/>
    </row>
    <row r="396" spans="3:3" ht="14.4" x14ac:dyDescent="0.3">
      <c r="C396" s="4"/>
    </row>
    <row r="397" spans="3:3" ht="14.4" x14ac:dyDescent="0.3">
      <c r="C397" s="4"/>
    </row>
    <row r="398" spans="3:3" ht="14.4" x14ac:dyDescent="0.3">
      <c r="C398" s="4"/>
    </row>
    <row r="399" spans="3:3" ht="14.4" x14ac:dyDescent="0.3">
      <c r="C399" s="4"/>
    </row>
    <row r="400" spans="3:3" ht="14.4" x14ac:dyDescent="0.3">
      <c r="C400" s="4"/>
    </row>
    <row r="401" spans="3:3" ht="14.4" x14ac:dyDescent="0.3">
      <c r="C401" s="4"/>
    </row>
    <row r="402" spans="3:3" ht="14.4" x14ac:dyDescent="0.3">
      <c r="C402" s="4"/>
    </row>
    <row r="403" spans="3:3" ht="14.4" x14ac:dyDescent="0.3">
      <c r="C403" s="4"/>
    </row>
    <row r="404" spans="3:3" ht="14.4" x14ac:dyDescent="0.3">
      <c r="C404" s="4"/>
    </row>
    <row r="405" spans="3:3" ht="14.4" x14ac:dyDescent="0.3">
      <c r="C405" s="4"/>
    </row>
    <row r="406" spans="3:3" ht="14.4" x14ac:dyDescent="0.3">
      <c r="C406" s="4"/>
    </row>
    <row r="407" spans="3:3" ht="14.4" x14ac:dyDescent="0.3">
      <c r="C407" s="4"/>
    </row>
    <row r="408" spans="3:3" ht="14.4" x14ac:dyDescent="0.3">
      <c r="C408" s="4"/>
    </row>
    <row r="409" spans="3:3" ht="14.4" x14ac:dyDescent="0.3">
      <c r="C409" s="4"/>
    </row>
    <row r="410" spans="3:3" ht="14.4" x14ac:dyDescent="0.3">
      <c r="C410" s="4"/>
    </row>
    <row r="411" spans="3:3" ht="14.4" x14ac:dyDescent="0.3">
      <c r="C411" s="4"/>
    </row>
    <row r="412" spans="3:3" ht="14.4" x14ac:dyDescent="0.3">
      <c r="C412" s="4"/>
    </row>
    <row r="413" spans="3:3" ht="14.4" x14ac:dyDescent="0.3">
      <c r="C413" s="4"/>
    </row>
    <row r="414" spans="3:3" ht="14.4" x14ac:dyDescent="0.3">
      <c r="C414" s="4"/>
    </row>
    <row r="415" spans="3:3" ht="14.4" x14ac:dyDescent="0.3">
      <c r="C415" s="4"/>
    </row>
    <row r="416" spans="3:3" ht="14.4" x14ac:dyDescent="0.3">
      <c r="C416" s="4"/>
    </row>
    <row r="417" spans="3:3" ht="14.4" x14ac:dyDescent="0.3">
      <c r="C417" s="4"/>
    </row>
    <row r="418" spans="3:3" ht="14.4" x14ac:dyDescent="0.3">
      <c r="C418" s="4"/>
    </row>
    <row r="419" spans="3:3" ht="14.4" x14ac:dyDescent="0.3">
      <c r="C419" s="4"/>
    </row>
    <row r="420" spans="3:3" ht="14.4" x14ac:dyDescent="0.3">
      <c r="C420" s="4"/>
    </row>
    <row r="421" spans="3:3" ht="14.4" x14ac:dyDescent="0.3">
      <c r="C421" s="4"/>
    </row>
    <row r="422" spans="3:3" ht="14.4" x14ac:dyDescent="0.3">
      <c r="C422" s="4"/>
    </row>
    <row r="423" spans="3:3" ht="14.4" x14ac:dyDescent="0.3">
      <c r="C423" s="4"/>
    </row>
    <row r="424" spans="3:3" ht="14.4" x14ac:dyDescent="0.3">
      <c r="C424" s="4"/>
    </row>
    <row r="425" spans="3:3" ht="14.4" x14ac:dyDescent="0.3">
      <c r="C425" s="4"/>
    </row>
    <row r="426" spans="3:3" ht="14.4" x14ac:dyDescent="0.3">
      <c r="C426" s="4"/>
    </row>
    <row r="427" spans="3:3" ht="14.4" x14ac:dyDescent="0.3">
      <c r="C427" s="4"/>
    </row>
    <row r="428" spans="3:3" ht="14.4" x14ac:dyDescent="0.3">
      <c r="C428" s="4"/>
    </row>
    <row r="429" spans="3:3" ht="14.4" x14ac:dyDescent="0.3">
      <c r="C429" s="4"/>
    </row>
    <row r="430" spans="3:3" ht="14.4" x14ac:dyDescent="0.3">
      <c r="C430" s="4"/>
    </row>
    <row r="431" spans="3:3" ht="14.4" x14ac:dyDescent="0.3">
      <c r="C431" s="4"/>
    </row>
    <row r="432" spans="3:3" ht="14.4" x14ac:dyDescent="0.3">
      <c r="C432" s="4"/>
    </row>
    <row r="433" spans="3:3" ht="14.4" x14ac:dyDescent="0.3">
      <c r="C433" s="4"/>
    </row>
    <row r="434" spans="3:3" ht="14.4" x14ac:dyDescent="0.3">
      <c r="C434" s="4"/>
    </row>
    <row r="435" spans="3:3" ht="14.4" x14ac:dyDescent="0.3">
      <c r="C435" s="4"/>
    </row>
    <row r="436" spans="3:3" ht="14.4" x14ac:dyDescent="0.3">
      <c r="C436" s="4"/>
    </row>
    <row r="437" spans="3:3" ht="14.4" x14ac:dyDescent="0.3">
      <c r="C437" s="4"/>
    </row>
    <row r="438" spans="3:3" ht="14.4" x14ac:dyDescent="0.3">
      <c r="C438" s="4"/>
    </row>
    <row r="439" spans="3:3" ht="14.4" x14ac:dyDescent="0.3">
      <c r="C439" s="4"/>
    </row>
    <row r="440" spans="3:3" ht="14.4" x14ac:dyDescent="0.3">
      <c r="C440" s="4"/>
    </row>
    <row r="441" spans="3:3" ht="14.4" x14ac:dyDescent="0.3">
      <c r="C441" s="4"/>
    </row>
    <row r="442" spans="3:3" ht="14.4" x14ac:dyDescent="0.3">
      <c r="C442" s="4"/>
    </row>
    <row r="443" spans="3:3" ht="14.4" x14ac:dyDescent="0.3">
      <c r="C443" s="4"/>
    </row>
    <row r="444" spans="3:3" ht="14.4" x14ac:dyDescent="0.3">
      <c r="C444" s="4"/>
    </row>
    <row r="445" spans="3:3" ht="14.4" x14ac:dyDescent="0.3">
      <c r="C445" s="4"/>
    </row>
    <row r="446" spans="3:3" ht="14.4" x14ac:dyDescent="0.3">
      <c r="C446" s="4"/>
    </row>
    <row r="447" spans="3:3" ht="14.4" x14ac:dyDescent="0.3">
      <c r="C447" s="4"/>
    </row>
    <row r="448" spans="3:3" ht="14.4" x14ac:dyDescent="0.3">
      <c r="C448" s="4"/>
    </row>
    <row r="449" spans="3:3" ht="14.4" x14ac:dyDescent="0.3">
      <c r="C449" s="4"/>
    </row>
    <row r="450" spans="3:3" ht="14.4" x14ac:dyDescent="0.3">
      <c r="C450" s="4"/>
    </row>
    <row r="451" spans="3:3" ht="14.4" x14ac:dyDescent="0.3">
      <c r="C451" s="4"/>
    </row>
    <row r="452" spans="3:3" ht="14.4" x14ac:dyDescent="0.3">
      <c r="C452" s="4"/>
    </row>
    <row r="453" spans="3:3" ht="14.4" x14ac:dyDescent="0.3">
      <c r="C453" s="4"/>
    </row>
    <row r="454" spans="3:3" ht="14.4" x14ac:dyDescent="0.3">
      <c r="C454" s="4"/>
    </row>
    <row r="455" spans="3:3" ht="14.4" x14ac:dyDescent="0.3">
      <c r="C455" s="4"/>
    </row>
    <row r="456" spans="3:3" ht="14.4" x14ac:dyDescent="0.3">
      <c r="C456" s="4"/>
    </row>
    <row r="457" spans="3:3" ht="14.4" x14ac:dyDescent="0.3">
      <c r="C457" s="4"/>
    </row>
    <row r="458" spans="3:3" ht="14.4" x14ac:dyDescent="0.3">
      <c r="C458" s="4"/>
    </row>
    <row r="459" spans="3:3" ht="14.4" x14ac:dyDescent="0.3">
      <c r="C459" s="4"/>
    </row>
    <row r="460" spans="3:3" ht="14.4" x14ac:dyDescent="0.3">
      <c r="C460" s="4"/>
    </row>
    <row r="461" spans="3:3" ht="14.4" x14ac:dyDescent="0.3">
      <c r="C461" s="4"/>
    </row>
    <row r="462" spans="3:3" ht="14.4" x14ac:dyDescent="0.3">
      <c r="C462" s="4"/>
    </row>
    <row r="463" spans="3:3" ht="14.4" x14ac:dyDescent="0.3">
      <c r="C463" s="4"/>
    </row>
    <row r="464" spans="3:3" ht="14.4" x14ac:dyDescent="0.3">
      <c r="C464" s="4"/>
    </row>
    <row r="465" spans="3:3" ht="14.4" x14ac:dyDescent="0.3">
      <c r="C465" s="4"/>
    </row>
    <row r="466" spans="3:3" ht="14.4" x14ac:dyDescent="0.3">
      <c r="C466" s="4"/>
    </row>
    <row r="467" spans="3:3" ht="14.4" x14ac:dyDescent="0.3">
      <c r="C467" s="4"/>
    </row>
    <row r="468" spans="3:3" ht="14.4" x14ac:dyDescent="0.3">
      <c r="C468" s="4"/>
    </row>
    <row r="469" spans="3:3" ht="14.4" x14ac:dyDescent="0.3">
      <c r="C469" s="4"/>
    </row>
    <row r="470" spans="3:3" ht="14.4" x14ac:dyDescent="0.3">
      <c r="C470" s="4"/>
    </row>
    <row r="471" spans="3:3" ht="14.4" x14ac:dyDescent="0.3">
      <c r="C471" s="4"/>
    </row>
    <row r="472" spans="3:3" ht="14.4" x14ac:dyDescent="0.3">
      <c r="C472" s="4"/>
    </row>
    <row r="473" spans="3:3" ht="14.4" x14ac:dyDescent="0.3">
      <c r="C473" s="4"/>
    </row>
    <row r="474" spans="3:3" ht="14.4" x14ac:dyDescent="0.3">
      <c r="C474" s="4"/>
    </row>
    <row r="475" spans="3:3" ht="14.4" x14ac:dyDescent="0.3">
      <c r="C475" s="4"/>
    </row>
    <row r="476" spans="3:3" ht="14.4" x14ac:dyDescent="0.3">
      <c r="C476" s="4"/>
    </row>
    <row r="477" spans="3:3" ht="14.4" x14ac:dyDescent="0.3">
      <c r="C477" s="4"/>
    </row>
    <row r="478" spans="3:3" ht="14.4" x14ac:dyDescent="0.3">
      <c r="C478" s="4"/>
    </row>
    <row r="479" spans="3:3" ht="14.4" x14ac:dyDescent="0.3">
      <c r="C479" s="4"/>
    </row>
    <row r="480" spans="3:3" ht="14.4" x14ac:dyDescent="0.3">
      <c r="C480" s="4"/>
    </row>
    <row r="481" spans="3:3" ht="14.4" x14ac:dyDescent="0.3">
      <c r="C481" s="4"/>
    </row>
    <row r="482" spans="3:3" ht="14.4" x14ac:dyDescent="0.3">
      <c r="C482" s="4"/>
    </row>
    <row r="483" spans="3:3" ht="14.4" x14ac:dyDescent="0.3">
      <c r="C483" s="4"/>
    </row>
    <row r="484" spans="3:3" ht="14.4" x14ac:dyDescent="0.3">
      <c r="C484" s="4"/>
    </row>
    <row r="485" spans="3:3" ht="14.4" x14ac:dyDescent="0.3">
      <c r="C485" s="4"/>
    </row>
    <row r="486" spans="3:3" ht="14.4" x14ac:dyDescent="0.3">
      <c r="C486" s="4"/>
    </row>
    <row r="487" spans="3:3" ht="14.4" x14ac:dyDescent="0.3">
      <c r="C487" s="4"/>
    </row>
    <row r="488" spans="3:3" ht="14.4" x14ac:dyDescent="0.3">
      <c r="C488" s="4"/>
    </row>
    <row r="489" spans="3:3" ht="14.4" x14ac:dyDescent="0.3">
      <c r="C489" s="4"/>
    </row>
    <row r="490" spans="3:3" ht="14.4" x14ac:dyDescent="0.3">
      <c r="C490" s="4"/>
    </row>
    <row r="491" spans="3:3" ht="14.4" x14ac:dyDescent="0.3">
      <c r="C491" s="4"/>
    </row>
    <row r="492" spans="3:3" ht="14.4" x14ac:dyDescent="0.3">
      <c r="C492" s="4"/>
    </row>
    <row r="493" spans="3:3" ht="14.4" x14ac:dyDescent="0.3">
      <c r="C493" s="4"/>
    </row>
    <row r="494" spans="3:3" ht="14.4" x14ac:dyDescent="0.3">
      <c r="C494" s="4"/>
    </row>
    <row r="495" spans="3:3" ht="14.4" x14ac:dyDescent="0.3">
      <c r="C495" s="4"/>
    </row>
    <row r="496" spans="3:3" ht="14.4" x14ac:dyDescent="0.3">
      <c r="C496" s="4"/>
    </row>
    <row r="497" spans="3:3" ht="14.4" x14ac:dyDescent="0.3">
      <c r="C497" s="4"/>
    </row>
    <row r="498" spans="3:3" ht="14.4" x14ac:dyDescent="0.3">
      <c r="C498" s="4"/>
    </row>
    <row r="499" spans="3:3" ht="14.4" x14ac:dyDescent="0.3">
      <c r="C499" s="4"/>
    </row>
    <row r="500" spans="3:3" ht="14.4" x14ac:dyDescent="0.3">
      <c r="C500" s="4"/>
    </row>
    <row r="501" spans="3:3" ht="14.4" x14ac:dyDescent="0.3">
      <c r="C501" s="4"/>
    </row>
    <row r="502" spans="3:3" ht="14.4" x14ac:dyDescent="0.3">
      <c r="C502" s="4"/>
    </row>
    <row r="503" spans="3:3" ht="14.4" x14ac:dyDescent="0.3">
      <c r="C503" s="4"/>
    </row>
    <row r="504" spans="3:3" ht="14.4" x14ac:dyDescent="0.3">
      <c r="C504" s="4"/>
    </row>
    <row r="505" spans="3:3" ht="14.4" x14ac:dyDescent="0.3">
      <c r="C505" s="4"/>
    </row>
    <row r="506" spans="3:3" ht="14.4" x14ac:dyDescent="0.3">
      <c r="C506" s="4"/>
    </row>
    <row r="507" spans="3:3" ht="14.4" x14ac:dyDescent="0.3">
      <c r="C507" s="4"/>
    </row>
    <row r="508" spans="3:3" ht="14.4" x14ac:dyDescent="0.3">
      <c r="C508" s="4"/>
    </row>
    <row r="509" spans="3:3" ht="14.4" x14ac:dyDescent="0.3">
      <c r="C509" s="4"/>
    </row>
    <row r="510" spans="3:3" ht="14.4" x14ac:dyDescent="0.3">
      <c r="C510" s="4"/>
    </row>
    <row r="511" spans="3:3" ht="14.4" x14ac:dyDescent="0.3">
      <c r="C511" s="4"/>
    </row>
    <row r="512" spans="3:3" ht="14.4" x14ac:dyDescent="0.3">
      <c r="C512" s="4"/>
    </row>
    <row r="513" spans="3:3" ht="14.4" x14ac:dyDescent="0.3">
      <c r="C513" s="4"/>
    </row>
    <row r="514" spans="3:3" ht="14.4" x14ac:dyDescent="0.3">
      <c r="C514" s="4"/>
    </row>
    <row r="515" spans="3:3" ht="14.4" x14ac:dyDescent="0.3">
      <c r="C515" s="4"/>
    </row>
    <row r="516" spans="3:3" ht="14.4" x14ac:dyDescent="0.3">
      <c r="C516" s="4"/>
    </row>
    <row r="517" spans="3:3" ht="14.4" x14ac:dyDescent="0.3">
      <c r="C517" s="4"/>
    </row>
    <row r="518" spans="3:3" ht="14.4" x14ac:dyDescent="0.3">
      <c r="C518" s="4"/>
    </row>
    <row r="519" spans="3:3" ht="14.4" x14ac:dyDescent="0.3">
      <c r="C519" s="4"/>
    </row>
    <row r="520" spans="3:3" ht="14.4" x14ac:dyDescent="0.3">
      <c r="C520" s="4"/>
    </row>
    <row r="521" spans="3:3" ht="14.4" x14ac:dyDescent="0.3">
      <c r="C521" s="4"/>
    </row>
    <row r="522" spans="3:3" ht="14.4" x14ac:dyDescent="0.3">
      <c r="C522" s="4"/>
    </row>
    <row r="523" spans="3:3" ht="14.4" x14ac:dyDescent="0.3">
      <c r="C523" s="4"/>
    </row>
    <row r="524" spans="3:3" ht="14.4" x14ac:dyDescent="0.3">
      <c r="C524" s="4"/>
    </row>
    <row r="525" spans="3:3" ht="14.4" x14ac:dyDescent="0.3">
      <c r="C525" s="4"/>
    </row>
    <row r="526" spans="3:3" ht="14.4" x14ac:dyDescent="0.3">
      <c r="C526" s="4"/>
    </row>
    <row r="527" spans="3:3" ht="14.4" x14ac:dyDescent="0.3">
      <c r="C527" s="4"/>
    </row>
    <row r="528" spans="3:3" ht="14.4" x14ac:dyDescent="0.3">
      <c r="C528" s="4"/>
    </row>
    <row r="529" spans="3:3" ht="14.4" x14ac:dyDescent="0.3">
      <c r="C529" s="4"/>
    </row>
    <row r="530" spans="3:3" ht="14.4" x14ac:dyDescent="0.3">
      <c r="C530" s="4"/>
    </row>
    <row r="531" spans="3:3" ht="14.4" x14ac:dyDescent="0.3">
      <c r="C531" s="4"/>
    </row>
    <row r="532" spans="3:3" ht="14.4" x14ac:dyDescent="0.3">
      <c r="C532" s="4"/>
    </row>
    <row r="533" spans="3:3" ht="14.4" x14ac:dyDescent="0.3">
      <c r="C533" s="4"/>
    </row>
    <row r="534" spans="3:3" ht="14.4" x14ac:dyDescent="0.3">
      <c r="C534" s="4"/>
    </row>
    <row r="535" spans="3:3" ht="14.4" x14ac:dyDescent="0.3">
      <c r="C535" s="4"/>
    </row>
    <row r="536" spans="3:3" ht="14.4" x14ac:dyDescent="0.3">
      <c r="C536" s="4"/>
    </row>
    <row r="537" spans="3:3" ht="14.4" x14ac:dyDescent="0.3">
      <c r="C537" s="4"/>
    </row>
    <row r="538" spans="3:3" ht="14.4" x14ac:dyDescent="0.3">
      <c r="C538" s="4"/>
    </row>
    <row r="539" spans="3:3" ht="14.4" x14ac:dyDescent="0.3">
      <c r="C539" s="4"/>
    </row>
    <row r="540" spans="3:3" ht="14.4" x14ac:dyDescent="0.3">
      <c r="C540" s="4"/>
    </row>
    <row r="541" spans="3:3" ht="14.4" x14ac:dyDescent="0.3">
      <c r="C541" s="4"/>
    </row>
    <row r="542" spans="3:3" ht="14.4" x14ac:dyDescent="0.3">
      <c r="C542" s="4"/>
    </row>
    <row r="543" spans="3:3" ht="14.4" x14ac:dyDescent="0.3">
      <c r="C543" s="4"/>
    </row>
    <row r="544" spans="3:3" ht="14.4" x14ac:dyDescent="0.3">
      <c r="C544" s="4"/>
    </row>
    <row r="545" spans="3:3" ht="14.4" x14ac:dyDescent="0.3">
      <c r="C545" s="4"/>
    </row>
    <row r="546" spans="3:3" ht="14.4" x14ac:dyDescent="0.3">
      <c r="C546" s="4"/>
    </row>
    <row r="547" spans="3:3" ht="14.4" x14ac:dyDescent="0.3">
      <c r="C547" s="4"/>
    </row>
    <row r="548" spans="3:3" ht="14.4" x14ac:dyDescent="0.3">
      <c r="C548" s="4"/>
    </row>
    <row r="549" spans="3:3" ht="14.4" x14ac:dyDescent="0.3">
      <c r="C549" s="4"/>
    </row>
    <row r="550" spans="3:3" ht="14.4" x14ac:dyDescent="0.3">
      <c r="C550" s="4"/>
    </row>
    <row r="551" spans="3:3" ht="14.4" x14ac:dyDescent="0.3">
      <c r="C551" s="4"/>
    </row>
    <row r="552" spans="3:3" ht="14.4" x14ac:dyDescent="0.3">
      <c r="C552" s="4"/>
    </row>
    <row r="553" spans="3:3" ht="14.4" x14ac:dyDescent="0.3">
      <c r="C553" s="4"/>
    </row>
    <row r="554" spans="3:3" ht="14.4" x14ac:dyDescent="0.3">
      <c r="C554" s="4"/>
    </row>
    <row r="555" spans="3:3" ht="14.4" x14ac:dyDescent="0.3">
      <c r="C555" s="4"/>
    </row>
    <row r="556" spans="3:3" ht="14.4" x14ac:dyDescent="0.3">
      <c r="C556" s="4"/>
    </row>
    <row r="557" spans="3:3" ht="14.4" x14ac:dyDescent="0.3">
      <c r="C557" s="4"/>
    </row>
    <row r="558" spans="3:3" ht="14.4" x14ac:dyDescent="0.3">
      <c r="C558" s="4"/>
    </row>
    <row r="559" spans="3:3" ht="14.4" x14ac:dyDescent="0.3">
      <c r="C559" s="4"/>
    </row>
    <row r="560" spans="3:3" ht="14.4" x14ac:dyDescent="0.3">
      <c r="C560" s="4"/>
    </row>
    <row r="561" spans="3:3" ht="14.4" x14ac:dyDescent="0.3">
      <c r="C561" s="4"/>
    </row>
    <row r="562" spans="3:3" ht="14.4" x14ac:dyDescent="0.3">
      <c r="C562" s="4"/>
    </row>
    <row r="563" spans="3:3" ht="14.4" x14ac:dyDescent="0.3">
      <c r="C563" s="4"/>
    </row>
    <row r="564" spans="3:3" ht="14.4" x14ac:dyDescent="0.3">
      <c r="C564" s="4"/>
    </row>
    <row r="565" spans="3:3" ht="14.4" x14ac:dyDescent="0.3">
      <c r="C565" s="4"/>
    </row>
    <row r="566" spans="3:3" ht="14.4" x14ac:dyDescent="0.3">
      <c r="C566" s="4"/>
    </row>
    <row r="567" spans="3:3" ht="14.4" x14ac:dyDescent="0.3">
      <c r="C567" s="4"/>
    </row>
    <row r="568" spans="3:3" ht="14.4" x14ac:dyDescent="0.3">
      <c r="C568" s="4"/>
    </row>
    <row r="569" spans="3:3" ht="14.4" x14ac:dyDescent="0.3">
      <c r="C569" s="4"/>
    </row>
    <row r="570" spans="3:3" ht="14.4" x14ac:dyDescent="0.3">
      <c r="C570" s="4"/>
    </row>
    <row r="571" spans="3:3" ht="14.4" x14ac:dyDescent="0.3">
      <c r="C571" s="4"/>
    </row>
    <row r="572" spans="3:3" ht="14.4" x14ac:dyDescent="0.3">
      <c r="C572" s="4"/>
    </row>
    <row r="573" spans="3:3" ht="14.4" x14ac:dyDescent="0.3">
      <c r="C573" s="4"/>
    </row>
    <row r="574" spans="3:3" ht="14.4" x14ac:dyDescent="0.3">
      <c r="C574" s="4"/>
    </row>
    <row r="575" spans="3:3" ht="14.4" x14ac:dyDescent="0.3">
      <c r="C575" s="4"/>
    </row>
    <row r="576" spans="3:3" ht="14.4" x14ac:dyDescent="0.3">
      <c r="C576" s="4"/>
    </row>
    <row r="577" spans="3:3" ht="14.4" x14ac:dyDescent="0.3">
      <c r="C577" s="4"/>
    </row>
    <row r="578" spans="3:3" ht="14.4" x14ac:dyDescent="0.3">
      <c r="C578" s="4"/>
    </row>
    <row r="579" spans="3:3" ht="14.4" x14ac:dyDescent="0.3">
      <c r="C579" s="4"/>
    </row>
    <row r="580" spans="3:3" ht="14.4" x14ac:dyDescent="0.3">
      <c r="C580" s="4"/>
    </row>
    <row r="581" spans="3:3" ht="14.4" x14ac:dyDescent="0.3">
      <c r="C581" s="4"/>
    </row>
    <row r="582" spans="3:3" ht="14.4" x14ac:dyDescent="0.3">
      <c r="C582" s="4"/>
    </row>
    <row r="583" spans="3:3" ht="14.4" x14ac:dyDescent="0.3">
      <c r="C583" s="4"/>
    </row>
    <row r="584" spans="3:3" ht="14.4" x14ac:dyDescent="0.3">
      <c r="C584" s="4"/>
    </row>
    <row r="585" spans="3:3" ht="14.4" x14ac:dyDescent="0.3">
      <c r="C585" s="4"/>
    </row>
    <row r="586" spans="3:3" ht="14.4" x14ac:dyDescent="0.3">
      <c r="C586" s="4"/>
    </row>
    <row r="587" spans="3:3" ht="14.4" x14ac:dyDescent="0.3">
      <c r="C587" s="4"/>
    </row>
    <row r="588" spans="3:3" ht="14.4" x14ac:dyDescent="0.3">
      <c r="C588" s="4"/>
    </row>
    <row r="589" spans="3:3" ht="14.4" x14ac:dyDescent="0.3">
      <c r="C589" s="4"/>
    </row>
    <row r="590" spans="3:3" ht="14.4" x14ac:dyDescent="0.3">
      <c r="C590" s="4"/>
    </row>
    <row r="591" spans="3:3" ht="14.4" x14ac:dyDescent="0.3">
      <c r="C591" s="4"/>
    </row>
    <row r="592" spans="3:3" ht="14.4" x14ac:dyDescent="0.3">
      <c r="C592" s="4"/>
    </row>
    <row r="593" spans="3:3" ht="14.4" x14ac:dyDescent="0.3">
      <c r="C593" s="4"/>
    </row>
    <row r="594" spans="3:3" ht="14.4" x14ac:dyDescent="0.3">
      <c r="C594" s="4"/>
    </row>
    <row r="595" spans="3:3" ht="14.4" x14ac:dyDescent="0.3">
      <c r="C595" s="4"/>
    </row>
    <row r="596" spans="3:3" ht="14.4" x14ac:dyDescent="0.3">
      <c r="C596" s="4"/>
    </row>
    <row r="597" spans="3:3" ht="14.4" x14ac:dyDescent="0.3">
      <c r="C597" s="4"/>
    </row>
    <row r="598" spans="3:3" ht="14.4" x14ac:dyDescent="0.3">
      <c r="C598" s="4"/>
    </row>
    <row r="599" spans="3:3" ht="14.4" x14ac:dyDescent="0.3">
      <c r="C599" s="4"/>
    </row>
    <row r="600" spans="3:3" ht="14.4" x14ac:dyDescent="0.3">
      <c r="C600" s="4"/>
    </row>
    <row r="601" spans="3:3" ht="14.4" x14ac:dyDescent="0.3">
      <c r="C601" s="4"/>
    </row>
    <row r="602" spans="3:3" ht="14.4" x14ac:dyDescent="0.3">
      <c r="C602" s="4"/>
    </row>
    <row r="603" spans="3:3" ht="14.4" x14ac:dyDescent="0.3">
      <c r="C603" s="4"/>
    </row>
    <row r="604" spans="3:3" ht="14.4" x14ac:dyDescent="0.3">
      <c r="C604" s="4"/>
    </row>
    <row r="605" spans="3:3" ht="14.4" x14ac:dyDescent="0.3">
      <c r="C605" s="4"/>
    </row>
    <row r="606" spans="3:3" ht="14.4" x14ac:dyDescent="0.3">
      <c r="C606" s="4"/>
    </row>
    <row r="607" spans="3:3" ht="14.4" x14ac:dyDescent="0.3">
      <c r="C607" s="4"/>
    </row>
    <row r="608" spans="3:3" ht="14.4" x14ac:dyDescent="0.3">
      <c r="C608" s="4"/>
    </row>
    <row r="609" spans="3:3" ht="14.4" x14ac:dyDescent="0.3">
      <c r="C609" s="4"/>
    </row>
    <row r="610" spans="3:3" ht="14.4" x14ac:dyDescent="0.3">
      <c r="C610" s="4"/>
    </row>
    <row r="611" spans="3:3" ht="14.4" x14ac:dyDescent="0.3">
      <c r="C611" s="4"/>
    </row>
    <row r="612" spans="3:3" ht="14.4" x14ac:dyDescent="0.3">
      <c r="C612" s="4"/>
    </row>
    <row r="613" spans="3:3" ht="14.4" x14ac:dyDescent="0.3">
      <c r="C613" s="4"/>
    </row>
    <row r="614" spans="3:3" ht="14.4" x14ac:dyDescent="0.3">
      <c r="C614" s="4"/>
    </row>
    <row r="615" spans="3:3" ht="14.4" x14ac:dyDescent="0.3">
      <c r="C615" s="4"/>
    </row>
    <row r="616" spans="3:3" ht="14.4" x14ac:dyDescent="0.3">
      <c r="C616" s="4"/>
    </row>
    <row r="617" spans="3:3" ht="14.4" x14ac:dyDescent="0.3">
      <c r="C617" s="4"/>
    </row>
    <row r="618" spans="3:3" ht="14.4" x14ac:dyDescent="0.3">
      <c r="C618" s="4"/>
    </row>
    <row r="619" spans="3:3" ht="14.4" x14ac:dyDescent="0.3">
      <c r="C619" s="4"/>
    </row>
    <row r="620" spans="3:3" ht="14.4" x14ac:dyDescent="0.3">
      <c r="C620" s="4"/>
    </row>
    <row r="621" spans="3:3" ht="14.4" x14ac:dyDescent="0.3">
      <c r="C621" s="4"/>
    </row>
    <row r="622" spans="3:3" ht="14.4" x14ac:dyDescent="0.3">
      <c r="C622" s="4"/>
    </row>
    <row r="623" spans="3:3" ht="14.4" x14ac:dyDescent="0.3">
      <c r="C623" s="4"/>
    </row>
    <row r="624" spans="3:3" ht="14.4" x14ac:dyDescent="0.3">
      <c r="C624" s="4"/>
    </row>
    <row r="625" spans="3:3" ht="14.4" x14ac:dyDescent="0.3">
      <c r="C625" s="4"/>
    </row>
    <row r="626" spans="3:3" ht="14.4" x14ac:dyDescent="0.3">
      <c r="C626" s="4"/>
    </row>
    <row r="627" spans="3:3" ht="14.4" x14ac:dyDescent="0.3">
      <c r="C627" s="4"/>
    </row>
    <row r="628" spans="3:3" ht="14.4" x14ac:dyDescent="0.3">
      <c r="C628" s="4"/>
    </row>
    <row r="629" spans="3:3" ht="14.4" x14ac:dyDescent="0.3">
      <c r="C629" s="4"/>
    </row>
    <row r="630" spans="3:3" ht="14.4" x14ac:dyDescent="0.3">
      <c r="C630" s="4"/>
    </row>
    <row r="631" spans="3:3" ht="14.4" x14ac:dyDescent="0.3">
      <c r="C631" s="4"/>
    </row>
    <row r="632" spans="3:3" ht="14.4" x14ac:dyDescent="0.3">
      <c r="C632" s="4"/>
    </row>
    <row r="633" spans="3:3" ht="14.4" x14ac:dyDescent="0.3">
      <c r="C633" s="4"/>
    </row>
    <row r="634" spans="3:3" ht="14.4" x14ac:dyDescent="0.3">
      <c r="C634" s="4"/>
    </row>
    <row r="635" spans="3:3" ht="14.4" x14ac:dyDescent="0.3">
      <c r="C635" s="4"/>
    </row>
    <row r="636" spans="3:3" ht="14.4" x14ac:dyDescent="0.3">
      <c r="C636" s="4"/>
    </row>
    <row r="637" spans="3:3" ht="14.4" x14ac:dyDescent="0.3">
      <c r="C637" s="4"/>
    </row>
    <row r="638" spans="3:3" ht="14.4" x14ac:dyDescent="0.3">
      <c r="C638" s="4"/>
    </row>
    <row r="639" spans="3:3" ht="14.4" x14ac:dyDescent="0.3">
      <c r="C639" s="4"/>
    </row>
    <row r="640" spans="3:3" ht="14.4" x14ac:dyDescent="0.3">
      <c r="C640" s="4"/>
    </row>
    <row r="641" spans="3:3" ht="14.4" x14ac:dyDescent="0.3">
      <c r="C641" s="4"/>
    </row>
    <row r="642" spans="3:3" ht="14.4" x14ac:dyDescent="0.3">
      <c r="C642" s="4"/>
    </row>
    <row r="643" spans="3:3" ht="14.4" x14ac:dyDescent="0.3">
      <c r="C643" s="4"/>
    </row>
    <row r="644" spans="3:3" ht="14.4" x14ac:dyDescent="0.3">
      <c r="C644" s="4"/>
    </row>
    <row r="645" spans="3:3" ht="14.4" x14ac:dyDescent="0.3">
      <c r="C645" s="4"/>
    </row>
    <row r="646" spans="3:3" ht="14.4" x14ac:dyDescent="0.3">
      <c r="C646" s="4"/>
    </row>
    <row r="647" spans="3:3" ht="14.4" x14ac:dyDescent="0.3">
      <c r="C647" s="4"/>
    </row>
    <row r="648" spans="3:3" ht="14.4" x14ac:dyDescent="0.3">
      <c r="C648" s="4"/>
    </row>
    <row r="649" spans="3:3" ht="14.4" x14ac:dyDescent="0.3">
      <c r="C649" s="4"/>
    </row>
    <row r="650" spans="3:3" ht="14.4" x14ac:dyDescent="0.3">
      <c r="C650" s="4"/>
    </row>
    <row r="651" spans="3:3" ht="14.4" x14ac:dyDescent="0.3">
      <c r="C651" s="4"/>
    </row>
    <row r="652" spans="3:3" ht="14.4" x14ac:dyDescent="0.3">
      <c r="C652" s="4"/>
    </row>
    <row r="653" spans="3:3" ht="14.4" x14ac:dyDescent="0.3">
      <c r="C653" s="4"/>
    </row>
    <row r="654" spans="3:3" ht="14.4" x14ac:dyDescent="0.3">
      <c r="C654" s="4"/>
    </row>
    <row r="655" spans="3:3" ht="14.4" x14ac:dyDescent="0.3">
      <c r="C655" s="4"/>
    </row>
    <row r="656" spans="3:3" ht="14.4" x14ac:dyDescent="0.3">
      <c r="C656" s="4"/>
    </row>
    <row r="657" spans="3:3" ht="14.4" x14ac:dyDescent="0.3">
      <c r="C657" s="4"/>
    </row>
    <row r="658" spans="3:3" ht="14.4" x14ac:dyDescent="0.3">
      <c r="C658" s="4"/>
    </row>
    <row r="659" spans="3:3" ht="14.4" x14ac:dyDescent="0.3">
      <c r="C659" s="4"/>
    </row>
    <row r="660" spans="3:3" ht="14.4" x14ac:dyDescent="0.3">
      <c r="C660" s="4"/>
    </row>
    <row r="661" spans="3:3" ht="14.4" x14ac:dyDescent="0.3">
      <c r="C661" s="4"/>
    </row>
    <row r="662" spans="3:3" ht="14.4" x14ac:dyDescent="0.3">
      <c r="C662" s="4"/>
    </row>
    <row r="663" spans="3:3" ht="14.4" x14ac:dyDescent="0.3">
      <c r="C663" s="4"/>
    </row>
    <row r="664" spans="3:3" ht="14.4" x14ac:dyDescent="0.3">
      <c r="C664" s="4"/>
    </row>
    <row r="665" spans="3:3" ht="14.4" x14ac:dyDescent="0.3">
      <c r="C665" s="4"/>
    </row>
    <row r="666" spans="3:3" ht="14.4" x14ac:dyDescent="0.3">
      <c r="C666" s="4"/>
    </row>
    <row r="667" spans="3:3" ht="14.4" x14ac:dyDescent="0.3">
      <c r="C667" s="4"/>
    </row>
    <row r="668" spans="3:3" ht="14.4" x14ac:dyDescent="0.3">
      <c r="C668" s="4"/>
    </row>
    <row r="669" spans="3:3" ht="14.4" x14ac:dyDescent="0.3">
      <c r="C669" s="4"/>
    </row>
    <row r="670" spans="3:3" ht="14.4" x14ac:dyDescent="0.3">
      <c r="C670" s="4"/>
    </row>
    <row r="671" spans="3:3" ht="14.4" x14ac:dyDescent="0.3">
      <c r="C671" s="4"/>
    </row>
    <row r="672" spans="3:3" ht="14.4" x14ac:dyDescent="0.3">
      <c r="C672" s="4"/>
    </row>
    <row r="673" spans="3:3" ht="14.4" x14ac:dyDescent="0.3">
      <c r="C673" s="4"/>
    </row>
    <row r="674" spans="3:3" ht="14.4" x14ac:dyDescent="0.3">
      <c r="C674" s="4"/>
    </row>
    <row r="675" spans="3:3" ht="14.4" x14ac:dyDescent="0.3">
      <c r="C675" s="4"/>
    </row>
    <row r="676" spans="3:3" ht="14.4" x14ac:dyDescent="0.3">
      <c r="C676" s="4"/>
    </row>
    <row r="677" spans="3:3" ht="14.4" x14ac:dyDescent="0.3">
      <c r="C677" s="4"/>
    </row>
    <row r="678" spans="3:3" ht="14.4" x14ac:dyDescent="0.3">
      <c r="C678" s="4"/>
    </row>
    <row r="679" spans="3:3" ht="14.4" x14ac:dyDescent="0.3">
      <c r="C679" s="4"/>
    </row>
    <row r="680" spans="3:3" ht="14.4" x14ac:dyDescent="0.3">
      <c r="C680" s="4"/>
    </row>
    <row r="681" spans="3:3" ht="14.4" x14ac:dyDescent="0.3">
      <c r="C681" s="4"/>
    </row>
    <row r="682" spans="3:3" ht="14.4" x14ac:dyDescent="0.3">
      <c r="C682" s="4"/>
    </row>
    <row r="683" spans="3:3" ht="14.4" x14ac:dyDescent="0.3">
      <c r="C683" s="4"/>
    </row>
    <row r="684" spans="3:3" ht="14.4" x14ac:dyDescent="0.3">
      <c r="C684" s="4"/>
    </row>
    <row r="685" spans="3:3" ht="14.4" x14ac:dyDescent="0.3">
      <c r="C685" s="4"/>
    </row>
    <row r="686" spans="3:3" ht="14.4" x14ac:dyDescent="0.3">
      <c r="C686" s="4"/>
    </row>
    <row r="687" spans="3:3" ht="14.4" x14ac:dyDescent="0.3">
      <c r="C687" s="4"/>
    </row>
    <row r="688" spans="3:3" ht="14.4" x14ac:dyDescent="0.3">
      <c r="C688" s="4"/>
    </row>
    <row r="689" spans="3:3" ht="14.4" x14ac:dyDescent="0.3">
      <c r="C689" s="4"/>
    </row>
    <row r="690" spans="3:3" ht="14.4" x14ac:dyDescent="0.3">
      <c r="C690" s="4"/>
    </row>
    <row r="691" spans="3:3" ht="14.4" x14ac:dyDescent="0.3">
      <c r="C691" s="4"/>
    </row>
    <row r="692" spans="3:3" ht="14.4" x14ac:dyDescent="0.3">
      <c r="C692" s="4"/>
    </row>
    <row r="693" spans="3:3" ht="14.4" x14ac:dyDescent="0.3">
      <c r="C693" s="4"/>
    </row>
    <row r="694" spans="3:3" ht="14.4" x14ac:dyDescent="0.3">
      <c r="C694" s="4"/>
    </row>
    <row r="695" spans="3:3" ht="14.4" x14ac:dyDescent="0.3">
      <c r="C695" s="4"/>
    </row>
    <row r="696" spans="3:3" ht="14.4" x14ac:dyDescent="0.3">
      <c r="C696" s="4"/>
    </row>
    <row r="697" spans="3:3" ht="14.4" x14ac:dyDescent="0.3">
      <c r="C697" s="4"/>
    </row>
    <row r="698" spans="3:3" ht="14.4" x14ac:dyDescent="0.3">
      <c r="C698" s="4"/>
    </row>
    <row r="699" spans="3:3" ht="14.4" x14ac:dyDescent="0.3">
      <c r="C699" s="4"/>
    </row>
    <row r="700" spans="3:3" ht="14.4" x14ac:dyDescent="0.3">
      <c r="C700" s="4"/>
    </row>
    <row r="701" spans="3:3" ht="14.4" x14ac:dyDescent="0.3">
      <c r="C701" s="4"/>
    </row>
    <row r="702" spans="3:3" ht="14.4" x14ac:dyDescent="0.3">
      <c r="C702" s="4"/>
    </row>
    <row r="703" spans="3:3" ht="14.4" x14ac:dyDescent="0.3">
      <c r="C703" s="4"/>
    </row>
    <row r="704" spans="3:3" ht="14.4" x14ac:dyDescent="0.3">
      <c r="C704" s="4"/>
    </row>
    <row r="705" spans="3:3" ht="14.4" x14ac:dyDescent="0.3">
      <c r="C705" s="4"/>
    </row>
    <row r="706" spans="3:3" ht="14.4" x14ac:dyDescent="0.3">
      <c r="C706" s="4"/>
    </row>
    <row r="707" spans="3:3" ht="14.4" x14ac:dyDescent="0.3">
      <c r="C707" s="4"/>
    </row>
    <row r="708" spans="3:3" ht="14.4" x14ac:dyDescent="0.3">
      <c r="C708" s="4"/>
    </row>
    <row r="709" spans="3:3" ht="14.4" x14ac:dyDescent="0.3">
      <c r="C709" s="4"/>
    </row>
    <row r="710" spans="3:3" ht="14.4" x14ac:dyDescent="0.3">
      <c r="C710" s="4"/>
    </row>
    <row r="711" spans="3:3" ht="14.4" x14ac:dyDescent="0.3">
      <c r="C711" s="4"/>
    </row>
    <row r="712" spans="3:3" ht="14.4" x14ac:dyDescent="0.3">
      <c r="C712" s="4"/>
    </row>
    <row r="713" spans="3:3" ht="14.4" x14ac:dyDescent="0.3">
      <c r="C713" s="4"/>
    </row>
    <row r="714" spans="3:3" ht="14.4" x14ac:dyDescent="0.3">
      <c r="C714" s="4"/>
    </row>
    <row r="715" spans="3:3" ht="14.4" x14ac:dyDescent="0.3">
      <c r="C715" s="4"/>
    </row>
    <row r="716" spans="3:3" ht="14.4" x14ac:dyDescent="0.3">
      <c r="C716" s="4"/>
    </row>
    <row r="717" spans="3:3" ht="14.4" x14ac:dyDescent="0.3">
      <c r="C717" s="4"/>
    </row>
    <row r="718" spans="3:3" ht="14.4" x14ac:dyDescent="0.3">
      <c r="C718" s="4"/>
    </row>
    <row r="719" spans="3:3" ht="14.4" x14ac:dyDescent="0.3">
      <c r="C719" s="4"/>
    </row>
    <row r="720" spans="3:3" ht="14.4" x14ac:dyDescent="0.3">
      <c r="C720" s="4"/>
    </row>
    <row r="721" spans="3:3" ht="14.4" x14ac:dyDescent="0.3">
      <c r="C721" s="4"/>
    </row>
    <row r="722" spans="3:3" ht="14.4" x14ac:dyDescent="0.3">
      <c r="C722" s="4"/>
    </row>
    <row r="723" spans="3:3" ht="14.4" x14ac:dyDescent="0.3">
      <c r="C723" s="4"/>
    </row>
    <row r="724" spans="3:3" ht="14.4" x14ac:dyDescent="0.3">
      <c r="C724" s="4"/>
    </row>
    <row r="725" spans="3:3" ht="14.4" x14ac:dyDescent="0.3">
      <c r="C725" s="4"/>
    </row>
    <row r="726" spans="3:3" ht="14.4" x14ac:dyDescent="0.3">
      <c r="C726" s="4"/>
    </row>
    <row r="727" spans="3:3" ht="14.4" x14ac:dyDescent="0.3">
      <c r="C727" s="4"/>
    </row>
    <row r="728" spans="3:3" ht="14.4" x14ac:dyDescent="0.3">
      <c r="C728" s="4"/>
    </row>
    <row r="729" spans="3:3" ht="14.4" x14ac:dyDescent="0.3">
      <c r="C729" s="4"/>
    </row>
    <row r="730" spans="3:3" ht="14.4" x14ac:dyDescent="0.3">
      <c r="C730" s="4"/>
    </row>
    <row r="731" spans="3:3" ht="14.4" x14ac:dyDescent="0.3">
      <c r="C731" s="4"/>
    </row>
    <row r="732" spans="3:3" ht="14.4" x14ac:dyDescent="0.3">
      <c r="C732" s="4"/>
    </row>
    <row r="733" spans="3:3" ht="14.4" x14ac:dyDescent="0.3">
      <c r="C733" s="4"/>
    </row>
    <row r="734" spans="3:3" ht="14.4" x14ac:dyDescent="0.3">
      <c r="C734" s="4"/>
    </row>
    <row r="735" spans="3:3" ht="14.4" x14ac:dyDescent="0.3">
      <c r="C735" s="4"/>
    </row>
    <row r="736" spans="3:3" ht="14.4" x14ac:dyDescent="0.3">
      <c r="C736" s="4"/>
    </row>
    <row r="737" spans="3:3" ht="14.4" x14ac:dyDescent="0.3">
      <c r="C737" s="4"/>
    </row>
    <row r="738" spans="3:3" ht="14.4" x14ac:dyDescent="0.3">
      <c r="C738" s="4"/>
    </row>
    <row r="739" spans="3:3" ht="14.4" x14ac:dyDescent="0.3">
      <c r="C739" s="4"/>
    </row>
    <row r="740" spans="3:3" ht="14.4" x14ac:dyDescent="0.3">
      <c r="C740" s="4"/>
    </row>
    <row r="741" spans="3:3" ht="14.4" x14ac:dyDescent="0.3">
      <c r="C741" s="4"/>
    </row>
    <row r="742" spans="3:3" ht="14.4" x14ac:dyDescent="0.3">
      <c r="C742" s="4"/>
    </row>
    <row r="743" spans="3:3" ht="14.4" x14ac:dyDescent="0.3">
      <c r="C743" s="4"/>
    </row>
    <row r="744" spans="3:3" ht="14.4" x14ac:dyDescent="0.3">
      <c r="C744" s="4"/>
    </row>
    <row r="745" spans="3:3" ht="14.4" x14ac:dyDescent="0.3">
      <c r="C745" s="4"/>
    </row>
    <row r="746" spans="3:3" ht="14.4" x14ac:dyDescent="0.3">
      <c r="C746" s="4"/>
    </row>
    <row r="747" spans="3:3" ht="14.4" x14ac:dyDescent="0.3">
      <c r="C747" s="4"/>
    </row>
    <row r="748" spans="3:3" ht="14.4" x14ac:dyDescent="0.3">
      <c r="C748" s="4"/>
    </row>
    <row r="749" spans="3:3" ht="14.4" x14ac:dyDescent="0.3">
      <c r="C749" s="4"/>
    </row>
    <row r="750" spans="3:3" ht="14.4" x14ac:dyDescent="0.3">
      <c r="C750" s="4"/>
    </row>
    <row r="751" spans="3:3" ht="14.4" x14ac:dyDescent="0.3">
      <c r="C751" s="4"/>
    </row>
    <row r="752" spans="3:3" ht="14.4" x14ac:dyDescent="0.3">
      <c r="C752" s="4"/>
    </row>
    <row r="753" spans="3:3" ht="14.4" x14ac:dyDescent="0.3">
      <c r="C753" s="4"/>
    </row>
    <row r="754" spans="3:3" ht="14.4" x14ac:dyDescent="0.3">
      <c r="C754" s="4"/>
    </row>
    <row r="755" spans="3:3" ht="14.4" x14ac:dyDescent="0.3">
      <c r="C755" s="4"/>
    </row>
    <row r="756" spans="3:3" ht="14.4" x14ac:dyDescent="0.3">
      <c r="C756" s="4"/>
    </row>
    <row r="757" spans="3:3" ht="14.4" x14ac:dyDescent="0.3">
      <c r="C757" s="4"/>
    </row>
    <row r="758" spans="3:3" ht="14.4" x14ac:dyDescent="0.3">
      <c r="C758" s="4"/>
    </row>
    <row r="759" spans="3:3" ht="14.4" x14ac:dyDescent="0.3">
      <c r="C759" s="4"/>
    </row>
    <row r="760" spans="3:3" ht="14.4" x14ac:dyDescent="0.3">
      <c r="C760" s="4"/>
    </row>
    <row r="761" spans="3:3" ht="14.4" x14ac:dyDescent="0.3">
      <c r="C761" s="4"/>
    </row>
    <row r="762" spans="3:3" ht="14.4" x14ac:dyDescent="0.3">
      <c r="C762" s="4"/>
    </row>
    <row r="763" spans="3:3" ht="14.4" x14ac:dyDescent="0.3">
      <c r="C763" s="4"/>
    </row>
    <row r="764" spans="3:3" ht="14.4" x14ac:dyDescent="0.3">
      <c r="C764" s="4"/>
    </row>
    <row r="765" spans="3:3" ht="14.4" x14ac:dyDescent="0.3">
      <c r="C765" s="4"/>
    </row>
    <row r="766" spans="3:3" ht="14.4" x14ac:dyDescent="0.3">
      <c r="C766" s="4"/>
    </row>
    <row r="767" spans="3:3" ht="14.4" x14ac:dyDescent="0.3">
      <c r="C767" s="4"/>
    </row>
    <row r="768" spans="3:3" ht="14.4" x14ac:dyDescent="0.3">
      <c r="C768" s="4"/>
    </row>
    <row r="769" spans="3:3" ht="14.4" x14ac:dyDescent="0.3">
      <c r="C769" s="4"/>
    </row>
    <row r="770" spans="3:3" ht="14.4" x14ac:dyDescent="0.3">
      <c r="C770" s="4"/>
    </row>
    <row r="771" spans="3:3" ht="14.4" x14ac:dyDescent="0.3">
      <c r="C771" s="4"/>
    </row>
    <row r="772" spans="3:3" ht="14.4" x14ac:dyDescent="0.3">
      <c r="C772" s="4"/>
    </row>
    <row r="773" spans="3:3" ht="14.4" x14ac:dyDescent="0.3">
      <c r="C773" s="4"/>
    </row>
    <row r="774" spans="3:3" ht="14.4" x14ac:dyDescent="0.3">
      <c r="C774" s="4"/>
    </row>
    <row r="775" spans="3:3" ht="14.4" x14ac:dyDescent="0.3">
      <c r="C775" s="4"/>
    </row>
    <row r="776" spans="3:3" ht="14.4" x14ac:dyDescent="0.3">
      <c r="C776" s="4"/>
    </row>
    <row r="777" spans="3:3" ht="14.4" x14ac:dyDescent="0.3">
      <c r="C777" s="4"/>
    </row>
    <row r="778" spans="3:3" ht="14.4" x14ac:dyDescent="0.3">
      <c r="C778" s="4"/>
    </row>
    <row r="779" spans="3:3" ht="14.4" x14ac:dyDescent="0.3">
      <c r="C779" s="4"/>
    </row>
    <row r="780" spans="3:3" ht="14.4" x14ac:dyDescent="0.3">
      <c r="C780" s="4"/>
    </row>
    <row r="781" spans="3:3" ht="14.4" x14ac:dyDescent="0.3">
      <c r="C781" s="4"/>
    </row>
    <row r="782" spans="3:3" ht="14.4" x14ac:dyDescent="0.3">
      <c r="C782" s="4"/>
    </row>
    <row r="783" spans="3:3" ht="14.4" x14ac:dyDescent="0.3">
      <c r="C783" s="4"/>
    </row>
    <row r="784" spans="3:3" ht="14.4" x14ac:dyDescent="0.3">
      <c r="C784" s="4"/>
    </row>
    <row r="785" spans="3:3" ht="14.4" x14ac:dyDescent="0.3">
      <c r="C785" s="4"/>
    </row>
    <row r="786" spans="3:3" ht="14.4" x14ac:dyDescent="0.3">
      <c r="C786" s="4"/>
    </row>
    <row r="787" spans="3:3" ht="14.4" x14ac:dyDescent="0.3">
      <c r="C787" s="4"/>
    </row>
    <row r="788" spans="3:3" ht="14.4" x14ac:dyDescent="0.3">
      <c r="C788" s="4"/>
    </row>
    <row r="789" spans="3:3" ht="14.4" x14ac:dyDescent="0.3">
      <c r="C789" s="4"/>
    </row>
    <row r="790" spans="3:3" ht="14.4" x14ac:dyDescent="0.3">
      <c r="C790" s="4"/>
    </row>
    <row r="791" spans="3:3" ht="14.4" x14ac:dyDescent="0.3">
      <c r="C791" s="4"/>
    </row>
    <row r="792" spans="3:3" ht="14.4" x14ac:dyDescent="0.3">
      <c r="C792" s="4"/>
    </row>
    <row r="793" spans="3:3" ht="14.4" x14ac:dyDescent="0.3">
      <c r="C793" s="4"/>
    </row>
    <row r="794" spans="3:3" ht="14.4" x14ac:dyDescent="0.3">
      <c r="C794" s="4"/>
    </row>
    <row r="795" spans="3:3" ht="14.4" x14ac:dyDescent="0.3">
      <c r="C795" s="4"/>
    </row>
    <row r="796" spans="3:3" ht="14.4" x14ac:dyDescent="0.3">
      <c r="C796" s="4"/>
    </row>
    <row r="797" spans="3:3" ht="14.4" x14ac:dyDescent="0.3">
      <c r="C797" s="4"/>
    </row>
    <row r="798" spans="3:3" ht="14.4" x14ac:dyDescent="0.3">
      <c r="C798" s="4"/>
    </row>
    <row r="799" spans="3:3" ht="14.4" x14ac:dyDescent="0.3">
      <c r="C799" s="4"/>
    </row>
    <row r="800" spans="3:3" ht="14.4" x14ac:dyDescent="0.3">
      <c r="C800" s="4"/>
    </row>
    <row r="801" spans="3:3" ht="14.4" x14ac:dyDescent="0.3">
      <c r="C801" s="4"/>
    </row>
    <row r="802" spans="3:3" ht="14.4" x14ac:dyDescent="0.3">
      <c r="C802" s="4"/>
    </row>
    <row r="803" spans="3:3" ht="14.4" x14ac:dyDescent="0.3">
      <c r="C803" s="4"/>
    </row>
    <row r="804" spans="3:3" ht="14.4" x14ac:dyDescent="0.3">
      <c r="C804" s="4"/>
    </row>
    <row r="805" spans="3:3" ht="14.4" x14ac:dyDescent="0.3">
      <c r="C805" s="4"/>
    </row>
    <row r="806" spans="3:3" ht="14.4" x14ac:dyDescent="0.3">
      <c r="C806" s="4"/>
    </row>
    <row r="807" spans="3:3" ht="14.4" x14ac:dyDescent="0.3">
      <c r="C807" s="4"/>
    </row>
    <row r="808" spans="3:3" ht="14.4" x14ac:dyDescent="0.3">
      <c r="C808" s="4"/>
    </row>
    <row r="809" spans="3:3" ht="14.4" x14ac:dyDescent="0.3">
      <c r="C809" s="4"/>
    </row>
    <row r="810" spans="3:3" ht="14.4" x14ac:dyDescent="0.3">
      <c r="C810" s="4"/>
    </row>
    <row r="811" spans="3:3" ht="14.4" x14ac:dyDescent="0.3">
      <c r="C811" s="4"/>
    </row>
    <row r="812" spans="3:3" ht="14.4" x14ac:dyDescent="0.3">
      <c r="C812" s="4"/>
    </row>
    <row r="813" spans="3:3" ht="14.4" x14ac:dyDescent="0.3">
      <c r="C813" s="4"/>
    </row>
    <row r="814" spans="3:3" ht="14.4" x14ac:dyDescent="0.3">
      <c r="C814" s="4"/>
    </row>
    <row r="815" spans="3:3" ht="14.4" x14ac:dyDescent="0.3">
      <c r="C815" s="4"/>
    </row>
    <row r="816" spans="3:3" ht="14.4" x14ac:dyDescent="0.3">
      <c r="C816" s="4"/>
    </row>
    <row r="817" spans="3:3" ht="14.4" x14ac:dyDescent="0.3">
      <c r="C817" s="4"/>
    </row>
    <row r="818" spans="3:3" ht="14.4" x14ac:dyDescent="0.3">
      <c r="C818" s="4"/>
    </row>
    <row r="819" spans="3:3" ht="14.4" x14ac:dyDescent="0.3">
      <c r="C819" s="4"/>
    </row>
    <row r="820" spans="3:3" ht="14.4" x14ac:dyDescent="0.3">
      <c r="C820" s="4"/>
    </row>
    <row r="821" spans="3:3" ht="14.4" x14ac:dyDescent="0.3">
      <c r="C821" s="4"/>
    </row>
    <row r="822" spans="3:3" ht="14.4" x14ac:dyDescent="0.3">
      <c r="C822" s="4"/>
    </row>
    <row r="823" spans="3:3" ht="14.4" x14ac:dyDescent="0.3">
      <c r="C823" s="4"/>
    </row>
    <row r="824" spans="3:3" ht="14.4" x14ac:dyDescent="0.3">
      <c r="C824" s="4"/>
    </row>
    <row r="825" spans="3:3" ht="14.4" x14ac:dyDescent="0.3">
      <c r="C825" s="4"/>
    </row>
    <row r="826" spans="3:3" ht="14.4" x14ac:dyDescent="0.3">
      <c r="C826" s="4"/>
    </row>
    <row r="827" spans="3:3" ht="14.4" x14ac:dyDescent="0.3">
      <c r="C827" s="4"/>
    </row>
    <row r="828" spans="3:3" ht="14.4" x14ac:dyDescent="0.3">
      <c r="C828" s="4"/>
    </row>
    <row r="829" spans="3:3" ht="14.4" x14ac:dyDescent="0.3">
      <c r="C829" s="4"/>
    </row>
    <row r="830" spans="3:3" ht="14.4" x14ac:dyDescent="0.3">
      <c r="C830" s="4"/>
    </row>
    <row r="831" spans="3:3" ht="14.4" x14ac:dyDescent="0.3">
      <c r="C831" s="4"/>
    </row>
    <row r="832" spans="3:3" ht="14.4" x14ac:dyDescent="0.3">
      <c r="C832" s="4"/>
    </row>
    <row r="833" spans="3:3" ht="14.4" x14ac:dyDescent="0.3">
      <c r="C833" s="4"/>
    </row>
    <row r="834" spans="3:3" ht="14.4" x14ac:dyDescent="0.3">
      <c r="C834" s="4"/>
    </row>
    <row r="835" spans="3:3" ht="14.4" x14ac:dyDescent="0.3">
      <c r="C835" s="4"/>
    </row>
    <row r="836" spans="3:3" ht="14.4" x14ac:dyDescent="0.3">
      <c r="C836" s="4"/>
    </row>
    <row r="837" spans="3:3" ht="14.4" x14ac:dyDescent="0.3">
      <c r="C837" s="4"/>
    </row>
    <row r="838" spans="3:3" ht="14.4" x14ac:dyDescent="0.3">
      <c r="C838" s="4"/>
    </row>
    <row r="839" spans="3:3" ht="14.4" x14ac:dyDescent="0.3">
      <c r="C839" s="4"/>
    </row>
    <row r="840" spans="3:3" ht="14.4" x14ac:dyDescent="0.3">
      <c r="C840" s="4"/>
    </row>
    <row r="841" spans="3:3" ht="14.4" x14ac:dyDescent="0.3">
      <c r="C841" s="4"/>
    </row>
    <row r="842" spans="3:3" ht="14.4" x14ac:dyDescent="0.3">
      <c r="C842" s="4"/>
    </row>
    <row r="843" spans="3:3" ht="14.4" x14ac:dyDescent="0.3">
      <c r="C843" s="4"/>
    </row>
    <row r="844" spans="3:3" ht="14.4" x14ac:dyDescent="0.3">
      <c r="C844" s="4"/>
    </row>
    <row r="845" spans="3:3" ht="14.4" x14ac:dyDescent="0.3">
      <c r="C845" s="4"/>
    </row>
    <row r="846" spans="3:3" ht="14.4" x14ac:dyDescent="0.3">
      <c r="C846" s="4"/>
    </row>
    <row r="847" spans="3:3" ht="14.4" x14ac:dyDescent="0.3">
      <c r="C847" s="4"/>
    </row>
    <row r="848" spans="3:3" ht="14.4" x14ac:dyDescent="0.3">
      <c r="C848" s="4"/>
    </row>
    <row r="849" spans="3:3" ht="14.4" x14ac:dyDescent="0.3">
      <c r="C849" s="4"/>
    </row>
    <row r="850" spans="3:3" ht="14.4" x14ac:dyDescent="0.3">
      <c r="C850" s="4"/>
    </row>
    <row r="851" spans="3:3" ht="14.4" x14ac:dyDescent="0.3">
      <c r="C851" s="4"/>
    </row>
    <row r="852" spans="3:3" ht="14.4" x14ac:dyDescent="0.3">
      <c r="C852" s="4"/>
    </row>
    <row r="853" spans="3:3" ht="14.4" x14ac:dyDescent="0.3">
      <c r="C853" s="4"/>
    </row>
    <row r="854" spans="3:3" ht="14.4" x14ac:dyDescent="0.3">
      <c r="C854" s="4"/>
    </row>
    <row r="855" spans="3:3" ht="14.4" x14ac:dyDescent="0.3">
      <c r="C855" s="4"/>
    </row>
    <row r="856" spans="3:3" ht="14.4" x14ac:dyDescent="0.3">
      <c r="C856" s="4"/>
    </row>
    <row r="857" spans="3:3" ht="14.4" x14ac:dyDescent="0.3">
      <c r="C857" s="4"/>
    </row>
    <row r="858" spans="3:3" ht="14.4" x14ac:dyDescent="0.3">
      <c r="C858" s="4"/>
    </row>
    <row r="859" spans="3:3" ht="14.4" x14ac:dyDescent="0.3">
      <c r="C859" s="4"/>
    </row>
    <row r="860" spans="3:3" ht="14.4" x14ac:dyDescent="0.3">
      <c r="C860" s="4"/>
    </row>
    <row r="861" spans="3:3" ht="14.4" x14ac:dyDescent="0.3">
      <c r="C861" s="4"/>
    </row>
    <row r="862" spans="3:3" ht="14.4" x14ac:dyDescent="0.3">
      <c r="C862" s="4"/>
    </row>
    <row r="863" spans="3:3" ht="14.4" x14ac:dyDescent="0.3">
      <c r="C863" s="4"/>
    </row>
    <row r="864" spans="3:3" ht="14.4" x14ac:dyDescent="0.3">
      <c r="C864" s="4"/>
    </row>
    <row r="865" spans="3:3" ht="14.4" x14ac:dyDescent="0.3">
      <c r="C865" s="4"/>
    </row>
    <row r="866" spans="3:3" ht="14.4" x14ac:dyDescent="0.3">
      <c r="C866" s="4"/>
    </row>
    <row r="867" spans="3:3" ht="14.4" x14ac:dyDescent="0.3">
      <c r="C867" s="4"/>
    </row>
    <row r="868" spans="3:3" ht="14.4" x14ac:dyDescent="0.3">
      <c r="C868" s="4"/>
    </row>
    <row r="869" spans="3:3" ht="14.4" x14ac:dyDescent="0.3">
      <c r="C869" s="4"/>
    </row>
    <row r="870" spans="3:3" ht="14.4" x14ac:dyDescent="0.3">
      <c r="C870" s="4"/>
    </row>
    <row r="871" spans="3:3" ht="14.4" x14ac:dyDescent="0.3">
      <c r="C871" s="4"/>
    </row>
    <row r="872" spans="3:3" ht="14.4" x14ac:dyDescent="0.3">
      <c r="C872" s="4"/>
    </row>
    <row r="873" spans="3:3" ht="14.4" x14ac:dyDescent="0.3">
      <c r="C873" s="4"/>
    </row>
    <row r="874" spans="3:3" ht="14.4" x14ac:dyDescent="0.3">
      <c r="C874" s="4"/>
    </row>
    <row r="875" spans="3:3" ht="14.4" x14ac:dyDescent="0.3">
      <c r="C875" s="4"/>
    </row>
    <row r="876" spans="3:3" ht="14.4" x14ac:dyDescent="0.3">
      <c r="C876" s="4"/>
    </row>
    <row r="877" spans="3:3" ht="14.4" x14ac:dyDescent="0.3">
      <c r="C877" s="4"/>
    </row>
    <row r="878" spans="3:3" ht="14.4" x14ac:dyDescent="0.3">
      <c r="C878" s="4"/>
    </row>
    <row r="879" spans="3:3" ht="14.4" x14ac:dyDescent="0.3">
      <c r="C879" s="4"/>
    </row>
    <row r="880" spans="3:3" ht="14.4" x14ac:dyDescent="0.3">
      <c r="C880" s="4"/>
    </row>
    <row r="881" spans="3:3" ht="14.4" x14ac:dyDescent="0.3">
      <c r="C881" s="4"/>
    </row>
    <row r="882" spans="3:3" ht="14.4" x14ac:dyDescent="0.3">
      <c r="C882" s="4"/>
    </row>
    <row r="883" spans="3:3" ht="14.4" x14ac:dyDescent="0.3">
      <c r="C883" s="4"/>
    </row>
    <row r="884" spans="3:3" ht="14.4" x14ac:dyDescent="0.3">
      <c r="C884" s="4"/>
    </row>
    <row r="885" spans="3:3" ht="14.4" x14ac:dyDescent="0.3">
      <c r="C885" s="4"/>
    </row>
    <row r="886" spans="3:3" ht="14.4" x14ac:dyDescent="0.3">
      <c r="C886" s="4"/>
    </row>
    <row r="887" spans="3:3" ht="14.4" x14ac:dyDescent="0.3">
      <c r="C887" s="4"/>
    </row>
    <row r="888" spans="3:3" ht="14.4" x14ac:dyDescent="0.3">
      <c r="C888" s="4"/>
    </row>
    <row r="889" spans="3:3" ht="14.4" x14ac:dyDescent="0.3">
      <c r="C889" s="4"/>
    </row>
    <row r="890" spans="3:3" ht="14.4" x14ac:dyDescent="0.3">
      <c r="C890" s="4"/>
    </row>
    <row r="891" spans="3:3" ht="14.4" x14ac:dyDescent="0.3">
      <c r="C891" s="4"/>
    </row>
    <row r="892" spans="3:3" ht="14.4" x14ac:dyDescent="0.3">
      <c r="C892" s="4"/>
    </row>
    <row r="893" spans="3:3" ht="14.4" x14ac:dyDescent="0.3">
      <c r="C893" s="4"/>
    </row>
    <row r="894" spans="3:3" ht="14.4" x14ac:dyDescent="0.3">
      <c r="C894" s="4"/>
    </row>
    <row r="895" spans="3:3" ht="14.4" x14ac:dyDescent="0.3">
      <c r="C895" s="4"/>
    </row>
    <row r="896" spans="3:3" ht="14.4" x14ac:dyDescent="0.3">
      <c r="C896" s="4"/>
    </row>
    <row r="897" spans="3:3" ht="14.4" x14ac:dyDescent="0.3">
      <c r="C897" s="4"/>
    </row>
    <row r="898" spans="3:3" ht="14.4" x14ac:dyDescent="0.3">
      <c r="C898" s="4"/>
    </row>
    <row r="899" spans="3:3" ht="14.4" x14ac:dyDescent="0.3">
      <c r="C899" s="4"/>
    </row>
    <row r="900" spans="3:3" ht="14.4" x14ac:dyDescent="0.3">
      <c r="C900" s="4"/>
    </row>
    <row r="901" spans="3:3" ht="14.4" x14ac:dyDescent="0.3">
      <c r="C901" s="4"/>
    </row>
    <row r="902" spans="3:3" ht="14.4" x14ac:dyDescent="0.3">
      <c r="C902" s="4"/>
    </row>
    <row r="903" spans="3:3" ht="14.4" x14ac:dyDescent="0.3">
      <c r="C903" s="4"/>
    </row>
    <row r="904" spans="3:3" ht="14.4" x14ac:dyDescent="0.3">
      <c r="C904" s="4"/>
    </row>
    <row r="905" spans="3:3" ht="14.4" x14ac:dyDescent="0.3">
      <c r="C905" s="4"/>
    </row>
    <row r="906" spans="3:3" ht="14.4" x14ac:dyDescent="0.3">
      <c r="C906" s="4"/>
    </row>
    <row r="907" spans="3:3" ht="14.4" x14ac:dyDescent="0.3">
      <c r="C907" s="4"/>
    </row>
    <row r="908" spans="3:3" ht="14.4" x14ac:dyDescent="0.3">
      <c r="C908" s="4"/>
    </row>
    <row r="909" spans="3:3" ht="14.4" x14ac:dyDescent="0.3">
      <c r="C909" s="4"/>
    </row>
    <row r="910" spans="3:3" ht="14.4" x14ac:dyDescent="0.3">
      <c r="C910" s="4"/>
    </row>
    <row r="911" spans="3:3" ht="14.4" x14ac:dyDescent="0.3">
      <c r="C911" s="4"/>
    </row>
    <row r="912" spans="3:3" ht="14.4" x14ac:dyDescent="0.3">
      <c r="C912" s="4"/>
    </row>
    <row r="913" spans="3:3" ht="14.4" x14ac:dyDescent="0.3">
      <c r="C913" s="4"/>
    </row>
    <row r="914" spans="3:3" ht="14.4" x14ac:dyDescent="0.3">
      <c r="C914" s="4"/>
    </row>
    <row r="915" spans="3:3" ht="14.4" x14ac:dyDescent="0.3">
      <c r="C915" s="4"/>
    </row>
    <row r="916" spans="3:3" ht="14.4" x14ac:dyDescent="0.3">
      <c r="C916" s="4"/>
    </row>
    <row r="917" spans="3:3" ht="14.4" x14ac:dyDescent="0.3">
      <c r="C917" s="4"/>
    </row>
    <row r="918" spans="3:3" ht="14.4" x14ac:dyDescent="0.3">
      <c r="C918" s="4"/>
    </row>
    <row r="919" spans="3:3" ht="14.4" x14ac:dyDescent="0.3">
      <c r="C919" s="4"/>
    </row>
    <row r="920" spans="3:3" ht="14.4" x14ac:dyDescent="0.3">
      <c r="C920" s="4"/>
    </row>
    <row r="921" spans="3:3" ht="14.4" x14ac:dyDescent="0.3">
      <c r="C921" s="4"/>
    </row>
    <row r="922" spans="3:3" ht="14.4" x14ac:dyDescent="0.3">
      <c r="C922" s="4"/>
    </row>
    <row r="923" spans="3:3" ht="14.4" x14ac:dyDescent="0.3">
      <c r="C923" s="4"/>
    </row>
    <row r="924" spans="3:3" ht="14.4" x14ac:dyDescent="0.3">
      <c r="C924" s="4"/>
    </row>
    <row r="925" spans="3:3" ht="14.4" x14ac:dyDescent="0.3">
      <c r="C925" s="4"/>
    </row>
    <row r="926" spans="3:3" ht="14.4" x14ac:dyDescent="0.3">
      <c r="C926" s="4"/>
    </row>
    <row r="927" spans="3:3" ht="14.4" x14ac:dyDescent="0.3">
      <c r="C927" s="4"/>
    </row>
    <row r="928" spans="3:3" ht="14.4" x14ac:dyDescent="0.3">
      <c r="C928" s="4"/>
    </row>
    <row r="929" spans="3:3" ht="14.4" x14ac:dyDescent="0.3">
      <c r="C929" s="4"/>
    </row>
    <row r="930" spans="3:3" ht="14.4" x14ac:dyDescent="0.3">
      <c r="C930" s="4"/>
    </row>
    <row r="931" spans="3:3" ht="14.4" x14ac:dyDescent="0.3">
      <c r="C931" s="4"/>
    </row>
    <row r="932" spans="3:3" ht="14.4" x14ac:dyDescent="0.3">
      <c r="C932" s="4"/>
    </row>
    <row r="933" spans="3:3" ht="14.4" x14ac:dyDescent="0.3">
      <c r="C933" s="4"/>
    </row>
    <row r="934" spans="3:3" ht="14.4" x14ac:dyDescent="0.3">
      <c r="C934" s="4"/>
    </row>
    <row r="935" spans="3:3" ht="14.4" x14ac:dyDescent="0.3">
      <c r="C935" s="4"/>
    </row>
    <row r="936" spans="3:3" ht="14.4" x14ac:dyDescent="0.3">
      <c r="C936" s="4"/>
    </row>
    <row r="937" spans="3:3" ht="14.4" x14ac:dyDescent="0.3">
      <c r="C937" s="4"/>
    </row>
    <row r="938" spans="3:3" ht="14.4" x14ac:dyDescent="0.3">
      <c r="C938" s="4"/>
    </row>
    <row r="939" spans="3:3" ht="14.4" x14ac:dyDescent="0.3">
      <c r="C939" s="4"/>
    </row>
    <row r="940" spans="3:3" ht="14.4" x14ac:dyDescent="0.3">
      <c r="C940" s="4"/>
    </row>
    <row r="941" spans="3:3" ht="14.4" x14ac:dyDescent="0.3">
      <c r="C941" s="4"/>
    </row>
    <row r="942" spans="3:3" ht="14.4" x14ac:dyDescent="0.3">
      <c r="C942" s="4"/>
    </row>
    <row r="943" spans="3:3" ht="14.4" x14ac:dyDescent="0.3">
      <c r="C943" s="4"/>
    </row>
    <row r="944" spans="3:3" ht="14.4" x14ac:dyDescent="0.3">
      <c r="C944" s="4"/>
    </row>
    <row r="945" spans="3:3" ht="14.4" x14ac:dyDescent="0.3">
      <c r="C945" s="4"/>
    </row>
    <row r="946" spans="3:3" ht="14.4" x14ac:dyDescent="0.3">
      <c r="C946" s="4"/>
    </row>
    <row r="947" spans="3:3" ht="14.4" x14ac:dyDescent="0.3">
      <c r="C947" s="4"/>
    </row>
    <row r="948" spans="3:3" ht="14.4" x14ac:dyDescent="0.3">
      <c r="C948" s="4"/>
    </row>
    <row r="949" spans="3:3" ht="14.4" x14ac:dyDescent="0.3">
      <c r="C949" s="4"/>
    </row>
    <row r="950" spans="3:3" ht="14.4" x14ac:dyDescent="0.3">
      <c r="C950" s="4"/>
    </row>
    <row r="951" spans="3:3" ht="14.4" x14ac:dyDescent="0.3">
      <c r="C951" s="4"/>
    </row>
    <row r="952" spans="3:3" ht="14.4" x14ac:dyDescent="0.3">
      <c r="C952" s="4"/>
    </row>
    <row r="953" spans="3:3" ht="14.4" x14ac:dyDescent="0.3">
      <c r="C953" s="4"/>
    </row>
    <row r="954" spans="3:3" ht="14.4" x14ac:dyDescent="0.3">
      <c r="C954" s="4"/>
    </row>
    <row r="955" spans="3:3" ht="14.4" x14ac:dyDescent="0.3">
      <c r="C955" s="4"/>
    </row>
    <row r="956" spans="3:3" ht="14.4" x14ac:dyDescent="0.3">
      <c r="C956" s="4"/>
    </row>
    <row r="957" spans="3:3" ht="14.4" x14ac:dyDescent="0.3">
      <c r="C957" s="4"/>
    </row>
    <row r="958" spans="3:3" ht="14.4" x14ac:dyDescent="0.3">
      <c r="C958" s="4"/>
    </row>
    <row r="959" spans="3:3" ht="14.4" x14ac:dyDescent="0.3">
      <c r="C959" s="4"/>
    </row>
    <row r="960" spans="3:3" ht="14.4" x14ac:dyDescent="0.3">
      <c r="C960" s="4"/>
    </row>
    <row r="961" spans="3:3" ht="14.4" x14ac:dyDescent="0.3">
      <c r="C961" s="4"/>
    </row>
    <row r="962" spans="3:3" ht="14.4" x14ac:dyDescent="0.3">
      <c r="C962" s="4"/>
    </row>
    <row r="963" spans="3:3" ht="14.4" x14ac:dyDescent="0.3">
      <c r="C963" s="4"/>
    </row>
    <row r="964" spans="3:3" ht="14.4" x14ac:dyDescent="0.3">
      <c r="C964" s="4"/>
    </row>
    <row r="965" spans="3:3" ht="14.4" x14ac:dyDescent="0.3">
      <c r="C965" s="4"/>
    </row>
    <row r="966" spans="3:3" ht="14.4" x14ac:dyDescent="0.3">
      <c r="C966" s="4"/>
    </row>
    <row r="967" spans="3:3" ht="14.4" x14ac:dyDescent="0.3">
      <c r="C967" s="4"/>
    </row>
    <row r="968" spans="3:3" ht="14.4" x14ac:dyDescent="0.3">
      <c r="C968" s="4"/>
    </row>
    <row r="969" spans="3:3" ht="14.4" x14ac:dyDescent="0.3">
      <c r="C969" s="4"/>
    </row>
    <row r="970" spans="3:3" ht="14.4" x14ac:dyDescent="0.3">
      <c r="C970" s="4"/>
    </row>
    <row r="971" spans="3:3" ht="14.4" x14ac:dyDescent="0.3">
      <c r="C971" s="4"/>
    </row>
    <row r="972" spans="3:3" ht="14.4" x14ac:dyDescent="0.3">
      <c r="C972" s="4"/>
    </row>
    <row r="973" spans="3:3" ht="14.4" x14ac:dyDescent="0.3">
      <c r="C973" s="4"/>
    </row>
    <row r="974" spans="3:3" ht="14.4" x14ac:dyDescent="0.3">
      <c r="C974" s="4"/>
    </row>
    <row r="975" spans="3:3" ht="14.4" x14ac:dyDescent="0.3">
      <c r="C975" s="4"/>
    </row>
    <row r="976" spans="3:3" ht="14.4" x14ac:dyDescent="0.3">
      <c r="C976" s="4"/>
    </row>
    <row r="977" spans="3:3" ht="14.4" x14ac:dyDescent="0.3">
      <c r="C977" s="4"/>
    </row>
    <row r="978" spans="3:3" ht="14.4" x14ac:dyDescent="0.3">
      <c r="C978" s="4"/>
    </row>
    <row r="979" spans="3:3" ht="14.4" x14ac:dyDescent="0.3">
      <c r="C979" s="4"/>
    </row>
    <row r="980" spans="3:3" ht="14.4" x14ac:dyDescent="0.3">
      <c r="C980" s="4"/>
    </row>
    <row r="981" spans="3:3" ht="14.4" x14ac:dyDescent="0.3">
      <c r="C981" s="4"/>
    </row>
    <row r="982" spans="3:3" ht="14.4" x14ac:dyDescent="0.3">
      <c r="C982" s="4"/>
    </row>
    <row r="983" spans="3:3" ht="14.4" x14ac:dyDescent="0.3">
      <c r="C983" s="4"/>
    </row>
    <row r="984" spans="3:3" ht="14.4" x14ac:dyDescent="0.3">
      <c r="C984" s="4"/>
    </row>
    <row r="985" spans="3:3" ht="14.4" x14ac:dyDescent="0.3">
      <c r="C985" s="4"/>
    </row>
    <row r="986" spans="3:3" ht="14.4" x14ac:dyDescent="0.3">
      <c r="C986" s="4"/>
    </row>
    <row r="987" spans="3:3" ht="14.4" x14ac:dyDescent="0.3">
      <c r="C987" s="4"/>
    </row>
    <row r="988" spans="3:3" ht="14.4" x14ac:dyDescent="0.3">
      <c r="C988" s="4"/>
    </row>
    <row r="989" spans="3:3" ht="14.4" x14ac:dyDescent="0.3">
      <c r="C989" s="4"/>
    </row>
    <row r="990" spans="3:3" ht="14.4" x14ac:dyDescent="0.3">
      <c r="C990" s="4"/>
    </row>
    <row r="991" spans="3:3" ht="14.4" x14ac:dyDescent="0.3">
      <c r="C991" s="4"/>
    </row>
    <row r="992" spans="3:3" ht="14.4" x14ac:dyDescent="0.3">
      <c r="C992" s="4"/>
    </row>
    <row r="993" spans="3:3" ht="14.4" x14ac:dyDescent="0.3">
      <c r="C993" s="4"/>
    </row>
    <row r="994" spans="3:3" ht="14.4" x14ac:dyDescent="0.3">
      <c r="C994" s="4"/>
    </row>
    <row r="995" spans="3:3" ht="14.4" x14ac:dyDescent="0.3">
      <c r="C995" s="4"/>
    </row>
    <row r="996" spans="3:3" ht="14.4" x14ac:dyDescent="0.3">
      <c r="C996" s="4"/>
    </row>
    <row r="997" spans="3:3" ht="14.4" x14ac:dyDescent="0.3">
      <c r="C997" s="4"/>
    </row>
    <row r="998" spans="3:3" ht="14.4" x14ac:dyDescent="0.3">
      <c r="C998" s="4"/>
    </row>
    <row r="999" spans="3:3" ht="14.4" x14ac:dyDescent="0.3">
      <c r="C999" s="4"/>
    </row>
    <row r="1000" spans="3:3" ht="14.4" x14ac:dyDescent="0.3">
      <c r="C1000" s="4"/>
    </row>
    <row r="1001" spans="3:3" ht="14.4" x14ac:dyDescent="0.3">
      <c r="C1001" s="4"/>
    </row>
    <row r="1002" spans="3:3" ht="14.4" x14ac:dyDescent="0.3">
      <c r="C1002" s="4"/>
    </row>
    <row r="1003" spans="3:3" ht="14.4" x14ac:dyDescent="0.3">
      <c r="C1003" s="4"/>
    </row>
    <row r="1004" spans="3:3" ht="14.4" x14ac:dyDescent="0.3">
      <c r="C1004" s="4"/>
    </row>
  </sheetData>
  <autoFilter ref="A4:C1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E18"/>
  <sheetViews>
    <sheetView workbookViewId="0">
      <selection activeCell="B23" sqref="B23"/>
    </sheetView>
  </sheetViews>
  <sheetFormatPr baseColWidth="10" defaultColWidth="12.5546875" defaultRowHeight="15" customHeight="1" x14ac:dyDescent="0.3"/>
  <cols>
    <col min="1" max="1" width="41.44140625" customWidth="1"/>
    <col min="2" max="2" width="24.44140625" customWidth="1"/>
    <col min="3" max="3" width="18.6640625" customWidth="1"/>
    <col min="4" max="4" width="17" customWidth="1"/>
    <col min="5" max="5" width="21.109375" customWidth="1"/>
  </cols>
  <sheetData>
    <row r="3" spans="1:5" ht="15" customHeight="1" x14ac:dyDescent="0.3">
      <c r="A3" s="162" t="s">
        <v>14</v>
      </c>
      <c r="B3" s="163"/>
      <c r="C3" s="163"/>
      <c r="D3" s="163"/>
      <c r="E3" s="164"/>
    </row>
    <row r="4" spans="1:5" ht="15" customHeight="1" x14ac:dyDescent="0.3">
      <c r="A4" s="165" t="s">
        <v>15</v>
      </c>
      <c r="B4" s="166"/>
      <c r="C4" s="166"/>
      <c r="D4" s="166"/>
      <c r="E4" s="167"/>
    </row>
    <row r="5" spans="1:5" ht="15.6" x14ac:dyDescent="0.3">
      <c r="A5" s="117" t="s">
        <v>16</v>
      </c>
      <c r="B5" s="118" t="s">
        <v>17</v>
      </c>
      <c r="C5" s="118" t="s">
        <v>18</v>
      </c>
      <c r="D5" s="118" t="s">
        <v>19</v>
      </c>
      <c r="E5" s="118" t="s">
        <v>20</v>
      </c>
    </row>
    <row r="6" spans="1:5" ht="15" customHeight="1" x14ac:dyDescent="0.3">
      <c r="A6" s="119" t="s">
        <v>21</v>
      </c>
      <c r="B6" s="120">
        <v>3</v>
      </c>
      <c r="C6" s="121" t="s">
        <v>22</v>
      </c>
      <c r="D6" s="122">
        <v>10</v>
      </c>
      <c r="E6" s="123">
        <f t="shared" ref="E6:E7" si="0">+B6*D6</f>
        <v>30</v>
      </c>
    </row>
    <row r="7" spans="1:5" ht="15" customHeight="1" x14ac:dyDescent="0.3">
      <c r="A7" s="119" t="s">
        <v>23</v>
      </c>
      <c r="B7" s="120">
        <v>3</v>
      </c>
      <c r="C7" s="121" t="s">
        <v>24</v>
      </c>
      <c r="D7" s="122">
        <v>12</v>
      </c>
      <c r="E7" s="123">
        <f t="shared" si="0"/>
        <v>36</v>
      </c>
    </row>
    <row r="8" spans="1:5" ht="15" customHeight="1" x14ac:dyDescent="0.3">
      <c r="A8" s="119" t="s">
        <v>25</v>
      </c>
      <c r="B8" s="120">
        <v>0.5</v>
      </c>
      <c r="C8" s="121" t="s">
        <v>24</v>
      </c>
      <c r="D8" s="122">
        <v>8</v>
      </c>
      <c r="E8" s="123">
        <f>+D8*B8</f>
        <v>4</v>
      </c>
    </row>
    <row r="9" spans="1:5" ht="15" customHeight="1" x14ac:dyDescent="0.3">
      <c r="A9" s="119" t="s">
        <v>26</v>
      </c>
      <c r="B9" s="120">
        <v>1.5</v>
      </c>
      <c r="C9" s="121" t="s">
        <v>22</v>
      </c>
      <c r="D9" s="122">
        <v>7</v>
      </c>
      <c r="E9" s="123">
        <f t="shared" ref="E9:E11" si="1">+B9*D9</f>
        <v>10.5</v>
      </c>
    </row>
    <row r="10" spans="1:5" ht="15" customHeight="1" x14ac:dyDescent="0.3">
      <c r="A10" s="119" t="s">
        <v>27</v>
      </c>
      <c r="B10" s="120">
        <v>0.3</v>
      </c>
      <c r="C10" s="121" t="s">
        <v>28</v>
      </c>
      <c r="D10" s="122">
        <v>6</v>
      </c>
      <c r="E10" s="123">
        <f t="shared" si="1"/>
        <v>1.7999999999999998</v>
      </c>
    </row>
    <row r="11" spans="1:5" ht="15" customHeight="1" x14ac:dyDescent="0.3">
      <c r="A11" s="119" t="s">
        <v>29</v>
      </c>
      <c r="B11" s="120">
        <v>1</v>
      </c>
      <c r="C11" s="121" t="s">
        <v>24</v>
      </c>
      <c r="D11" s="122">
        <v>2.5</v>
      </c>
      <c r="E11" s="123">
        <f t="shared" si="1"/>
        <v>2.5</v>
      </c>
    </row>
    <row r="12" spans="1:5" ht="15" customHeight="1" x14ac:dyDescent="0.3">
      <c r="A12" s="119" t="s">
        <v>30</v>
      </c>
      <c r="B12" s="120">
        <v>3</v>
      </c>
      <c r="C12" s="121" t="s">
        <v>24</v>
      </c>
      <c r="D12" s="122">
        <v>1</v>
      </c>
      <c r="E12" s="123">
        <f t="shared" ref="E12:E13" si="2">+B12*D12/5</f>
        <v>0.6</v>
      </c>
    </row>
    <row r="13" spans="1:5" ht="15" customHeight="1" x14ac:dyDescent="0.3">
      <c r="A13" s="119" t="s">
        <v>31</v>
      </c>
      <c r="B13" s="120">
        <v>6</v>
      </c>
      <c r="C13" s="121" t="s">
        <v>24</v>
      </c>
      <c r="D13" s="122">
        <v>0.3</v>
      </c>
      <c r="E13" s="123">
        <f t="shared" si="2"/>
        <v>0.36</v>
      </c>
    </row>
    <row r="14" spans="1:5" ht="15.6" x14ac:dyDescent="0.3">
      <c r="A14" s="124"/>
      <c r="B14" s="125"/>
      <c r="C14" s="125"/>
      <c r="D14" s="126"/>
      <c r="E14" s="127"/>
    </row>
    <row r="15" spans="1:5" ht="15.6" x14ac:dyDescent="0.3">
      <c r="A15" s="124"/>
      <c r="B15" s="125"/>
      <c r="C15" s="125"/>
      <c r="D15" s="126"/>
      <c r="E15" s="127"/>
    </row>
    <row r="16" spans="1:5" ht="15" customHeight="1" x14ac:dyDescent="0.3">
      <c r="A16" s="168" t="s">
        <v>32</v>
      </c>
      <c r="B16" s="166"/>
      <c r="C16" s="166"/>
      <c r="D16" s="167"/>
      <c r="E16" s="123">
        <f>+SUM(E6:E15)</f>
        <v>85.759999999999991</v>
      </c>
    </row>
    <row r="17" spans="1:5" ht="15" customHeight="1" x14ac:dyDescent="0.3">
      <c r="A17" s="169" t="s">
        <v>33</v>
      </c>
      <c r="B17" s="166"/>
      <c r="C17" s="166"/>
      <c r="D17" s="167"/>
      <c r="E17" s="123">
        <v>16.670000000000002</v>
      </c>
    </row>
    <row r="18" spans="1:5" ht="15" customHeight="1" x14ac:dyDescent="0.3">
      <c r="A18" s="170" t="s">
        <v>34</v>
      </c>
      <c r="B18" s="166"/>
      <c r="C18" s="166"/>
      <c r="D18" s="167"/>
      <c r="E18" s="128">
        <f>+E16+E17</f>
        <v>102.42999999999999</v>
      </c>
    </row>
  </sheetData>
  <mergeCells count="5">
    <mergeCell ref="A3:E3"/>
    <mergeCell ref="A4:E4"/>
    <mergeCell ref="A16:D16"/>
    <mergeCell ref="A17:D17"/>
    <mergeCell ref="A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99"/>
  <sheetViews>
    <sheetView topLeftCell="A4" zoomScaleNormal="100" workbookViewId="0">
      <selection activeCell="C25" sqref="C25"/>
    </sheetView>
  </sheetViews>
  <sheetFormatPr baseColWidth="10" defaultColWidth="12.5546875" defaultRowHeight="15" customHeight="1" x14ac:dyDescent="0.3"/>
  <cols>
    <col min="1" max="1" width="22.5546875" style="141" customWidth="1"/>
    <col min="2" max="4" width="10.5546875" style="141" customWidth="1"/>
    <col min="5" max="17" width="10.5546875" customWidth="1"/>
  </cols>
  <sheetData>
    <row r="2" spans="1:5" ht="14.4" x14ac:dyDescent="0.3">
      <c r="A2" s="171" t="s">
        <v>35</v>
      </c>
      <c r="B2" s="172"/>
      <c r="C2" s="172"/>
      <c r="D2" s="173"/>
    </row>
    <row r="3" spans="1:5" ht="14.4" x14ac:dyDescent="0.3">
      <c r="A3" s="174" t="s">
        <v>36</v>
      </c>
      <c r="B3" s="175"/>
      <c r="C3" s="176"/>
      <c r="D3" s="129">
        <f>D4+D19+D28</f>
        <v>19080</v>
      </c>
      <c r="E3" s="5"/>
    </row>
    <row r="4" spans="1:5" ht="14.4" x14ac:dyDescent="0.3">
      <c r="A4" s="177" t="s">
        <v>37</v>
      </c>
      <c r="B4" s="175"/>
      <c r="C4" s="176"/>
      <c r="D4" s="130">
        <f>D5+D13</f>
        <v>5840</v>
      </c>
      <c r="E4" s="5"/>
    </row>
    <row r="5" spans="1:5" ht="14.4" x14ac:dyDescent="0.3">
      <c r="A5" s="178" t="s">
        <v>38</v>
      </c>
      <c r="B5" s="175"/>
      <c r="C5" s="176"/>
      <c r="D5" s="131">
        <f>SUM(D6:D12)</f>
        <v>5010</v>
      </c>
      <c r="E5" s="6"/>
    </row>
    <row r="6" spans="1:5" ht="15.6" x14ac:dyDescent="0.3">
      <c r="A6" s="145" t="s">
        <v>39</v>
      </c>
      <c r="B6" s="133">
        <v>2</v>
      </c>
      <c r="C6" s="133">
        <v>300</v>
      </c>
      <c r="D6" s="133">
        <f t="shared" ref="D6:D12" si="0">B6*C6</f>
        <v>600</v>
      </c>
      <c r="E6" s="6"/>
    </row>
    <row r="7" spans="1:5" ht="15.6" x14ac:dyDescent="0.3">
      <c r="A7" s="145" t="s">
        <v>40</v>
      </c>
      <c r="B7" s="133">
        <v>2</v>
      </c>
      <c r="C7" s="133">
        <v>50</v>
      </c>
      <c r="D7" s="133">
        <f t="shared" si="0"/>
        <v>100</v>
      </c>
      <c r="E7" s="6"/>
    </row>
    <row r="8" spans="1:5" ht="15.6" x14ac:dyDescent="0.3">
      <c r="A8" s="145" t="s">
        <v>153</v>
      </c>
      <c r="B8" s="133">
        <v>2</v>
      </c>
      <c r="C8" s="133">
        <v>1800</v>
      </c>
      <c r="D8" s="133">
        <f t="shared" si="0"/>
        <v>3600</v>
      </c>
      <c r="E8" s="6"/>
    </row>
    <row r="9" spans="1:5" ht="15.6" x14ac:dyDescent="0.3">
      <c r="A9" s="145" t="s">
        <v>154</v>
      </c>
      <c r="B9" s="133">
        <v>1</v>
      </c>
      <c r="C9" s="133">
        <v>380</v>
      </c>
      <c r="D9" s="133">
        <f t="shared" si="0"/>
        <v>380</v>
      </c>
      <c r="E9" s="6"/>
    </row>
    <row r="10" spans="1:5" ht="16.2" thickBot="1" x14ac:dyDescent="0.35">
      <c r="A10" s="145" t="s">
        <v>155</v>
      </c>
      <c r="B10" s="133">
        <v>2</v>
      </c>
      <c r="C10" s="133">
        <v>50</v>
      </c>
      <c r="D10" s="133">
        <f t="shared" si="0"/>
        <v>100</v>
      </c>
      <c r="E10" s="6"/>
    </row>
    <row r="11" spans="1:5" ht="16.2" thickBot="1" x14ac:dyDescent="0.35">
      <c r="A11" s="145" t="s">
        <v>156</v>
      </c>
      <c r="B11" s="133">
        <v>3</v>
      </c>
      <c r="C11" s="133">
        <v>30</v>
      </c>
      <c r="D11" s="133">
        <f t="shared" si="0"/>
        <v>90</v>
      </c>
      <c r="E11" s="6"/>
    </row>
    <row r="12" spans="1:5" ht="31.8" thickBot="1" x14ac:dyDescent="0.35">
      <c r="A12" s="145" t="s">
        <v>157</v>
      </c>
      <c r="B12" s="133">
        <v>1</v>
      </c>
      <c r="C12" s="133">
        <v>140</v>
      </c>
      <c r="D12" s="133">
        <f t="shared" si="0"/>
        <v>140</v>
      </c>
      <c r="E12" s="6"/>
    </row>
    <row r="13" spans="1:5" thickBot="1" x14ac:dyDescent="0.35">
      <c r="A13" s="178" t="s">
        <v>41</v>
      </c>
      <c r="B13" s="175"/>
      <c r="C13" s="176"/>
      <c r="D13" s="131">
        <f>D14+D15+D16+D17+D18</f>
        <v>830</v>
      </c>
      <c r="E13" s="6"/>
    </row>
    <row r="14" spans="1:5" ht="14.4" x14ac:dyDescent="0.3">
      <c r="A14" s="132" t="s">
        <v>42</v>
      </c>
      <c r="B14" s="133">
        <v>1</v>
      </c>
      <c r="C14" s="133">
        <v>170</v>
      </c>
      <c r="D14" s="133">
        <f t="shared" ref="D14:D18" si="1">C14*B14</f>
        <v>170</v>
      </c>
      <c r="E14" s="5"/>
    </row>
    <row r="15" spans="1:5" ht="14.4" x14ac:dyDescent="0.3">
      <c r="A15" s="147" t="s">
        <v>158</v>
      </c>
      <c r="B15" s="133">
        <v>1</v>
      </c>
      <c r="C15" s="133">
        <v>100</v>
      </c>
      <c r="D15" s="133">
        <f t="shared" si="1"/>
        <v>100</v>
      </c>
      <c r="E15" s="5"/>
    </row>
    <row r="16" spans="1:5" ht="28.8" x14ac:dyDescent="0.3">
      <c r="A16" s="132" t="s">
        <v>43</v>
      </c>
      <c r="B16" s="133">
        <v>1</v>
      </c>
      <c r="C16" s="133">
        <v>120</v>
      </c>
      <c r="D16" s="133">
        <f t="shared" si="1"/>
        <v>120</v>
      </c>
      <c r="E16" s="5"/>
    </row>
    <row r="17" spans="1:6" ht="29.4" thickBot="1" x14ac:dyDescent="0.35">
      <c r="A17" s="147" t="s">
        <v>159</v>
      </c>
      <c r="B17" s="133">
        <v>1</v>
      </c>
      <c r="C17" s="133">
        <v>200</v>
      </c>
      <c r="D17" s="133">
        <f t="shared" si="1"/>
        <v>200</v>
      </c>
      <c r="E17" s="5"/>
    </row>
    <row r="18" spans="1:6" thickBot="1" x14ac:dyDescent="0.35">
      <c r="A18" s="132" t="s">
        <v>44</v>
      </c>
      <c r="B18" s="133">
        <v>3</v>
      </c>
      <c r="C18" s="133">
        <v>80</v>
      </c>
      <c r="D18" s="133">
        <f t="shared" si="1"/>
        <v>240</v>
      </c>
      <c r="E18" s="5"/>
    </row>
    <row r="19" spans="1:6" ht="15.75" customHeight="1" x14ac:dyDescent="0.3">
      <c r="A19" s="179" t="s">
        <v>45</v>
      </c>
      <c r="B19" s="175"/>
      <c r="C19" s="176"/>
      <c r="D19" s="134">
        <f>D20+D22+D26</f>
        <v>12890</v>
      </c>
      <c r="E19" s="6"/>
    </row>
    <row r="20" spans="1:6" ht="15.75" customHeight="1" x14ac:dyDescent="0.3">
      <c r="A20" s="180" t="s">
        <v>46</v>
      </c>
      <c r="B20" s="175"/>
      <c r="C20" s="176"/>
      <c r="D20" s="135">
        <f>D21</f>
        <v>8000</v>
      </c>
      <c r="E20" s="6"/>
    </row>
    <row r="21" spans="1:6" ht="28.8" x14ac:dyDescent="0.3">
      <c r="A21" s="199" t="s">
        <v>160</v>
      </c>
      <c r="B21" s="198">
        <v>1</v>
      </c>
      <c r="C21" s="198">
        <v>8000</v>
      </c>
      <c r="D21" s="198">
        <f>C21*B21</f>
        <v>8000</v>
      </c>
      <c r="E21" s="6"/>
    </row>
    <row r="22" spans="1:6" ht="15.75" customHeight="1" x14ac:dyDescent="0.3">
      <c r="A22" s="180" t="s">
        <v>47</v>
      </c>
      <c r="B22" s="175"/>
      <c r="C22" s="176"/>
      <c r="D22" s="136">
        <f>SUM(D23:D25)</f>
        <v>3890</v>
      </c>
      <c r="E22" s="6"/>
      <c r="F22" s="148">
        <f>D23+D25+D24</f>
        <v>3890</v>
      </c>
    </row>
    <row r="23" spans="1:6" ht="15.75" customHeight="1" x14ac:dyDescent="0.3">
      <c r="A23" s="132" t="s">
        <v>48</v>
      </c>
      <c r="B23" s="137">
        <v>1</v>
      </c>
      <c r="C23" s="137">
        <f>'6.2 ESTRUCTURA DE GASTOS'!C9</f>
        <v>380</v>
      </c>
      <c r="D23" s="137">
        <f t="shared" ref="D23:D25" si="2">C23*B23</f>
        <v>380</v>
      </c>
      <c r="E23" s="6"/>
    </row>
    <row r="24" spans="1:6" ht="15.75" customHeight="1" x14ac:dyDescent="0.3">
      <c r="A24" s="132" t="s">
        <v>49</v>
      </c>
      <c r="B24" s="137">
        <v>1</v>
      </c>
      <c r="C24" s="137">
        <f>'6.2 ESTRUCTURA DE GASTOS'!C17</f>
        <v>480</v>
      </c>
      <c r="D24" s="137">
        <f t="shared" si="2"/>
        <v>480</v>
      </c>
      <c r="E24" s="6"/>
    </row>
    <row r="25" spans="1:6" ht="15.75" customHeight="1" x14ac:dyDescent="0.3">
      <c r="A25" s="132" t="s">
        <v>50</v>
      </c>
      <c r="B25" s="137">
        <v>1</v>
      </c>
      <c r="C25" s="137">
        <f>'6.2 ESTRUCTURA DE GASTOS'!C25</f>
        <v>3030</v>
      </c>
      <c r="D25" s="137">
        <f t="shared" si="2"/>
        <v>3030</v>
      </c>
      <c r="E25" s="6"/>
    </row>
    <row r="26" spans="1:6" ht="15.75" customHeight="1" x14ac:dyDescent="0.3">
      <c r="A26" s="180" t="s">
        <v>51</v>
      </c>
      <c r="B26" s="175"/>
      <c r="C26" s="176"/>
      <c r="D26" s="135">
        <f>D27</f>
        <v>1000</v>
      </c>
      <c r="E26" s="6"/>
    </row>
    <row r="27" spans="1:6" ht="15.75" customHeight="1" x14ac:dyDescent="0.3">
      <c r="A27" s="199" t="s">
        <v>52</v>
      </c>
      <c r="B27" s="198">
        <v>1</v>
      </c>
      <c r="C27" s="198">
        <v>1000</v>
      </c>
      <c r="D27" s="133">
        <f>C27*B27</f>
        <v>1000</v>
      </c>
      <c r="E27" s="6"/>
    </row>
    <row r="28" spans="1:6" ht="15.75" customHeight="1" x14ac:dyDescent="0.3">
      <c r="A28" s="181" t="s">
        <v>53</v>
      </c>
      <c r="B28" s="175"/>
      <c r="C28" s="176"/>
      <c r="D28" s="138">
        <v>350</v>
      </c>
      <c r="E28" s="6"/>
    </row>
    <row r="29" spans="1:6" ht="15.75" customHeight="1" x14ac:dyDescent="0.3">
      <c r="A29" s="132" t="s">
        <v>54</v>
      </c>
      <c r="B29" s="133">
        <v>1</v>
      </c>
      <c r="C29" s="133">
        <v>350</v>
      </c>
      <c r="D29" s="133">
        <v>350</v>
      </c>
      <c r="E29" s="5"/>
    </row>
    <row r="30" spans="1:6" ht="15.75" customHeight="1" x14ac:dyDescent="0.3">
      <c r="A30" s="139"/>
      <c r="B30" s="140"/>
      <c r="C30" s="140"/>
      <c r="D30" s="140"/>
      <c r="E30" s="5"/>
    </row>
    <row r="31" spans="1:6" ht="15.75" customHeight="1" x14ac:dyDescent="0.3">
      <c r="E31" s="5"/>
    </row>
    <row r="32" spans="1:6" ht="15.75" customHeight="1" x14ac:dyDescent="0.3">
      <c r="A32" s="174" t="s">
        <v>36</v>
      </c>
      <c r="B32" s="175"/>
      <c r="C32" s="176"/>
      <c r="D32" s="142">
        <f>D33+D36+D40</f>
        <v>19080</v>
      </c>
      <c r="E32" s="5"/>
    </row>
    <row r="33" spans="1:5" ht="15.75" customHeight="1" x14ac:dyDescent="0.3">
      <c r="A33" s="177" t="s">
        <v>37</v>
      </c>
      <c r="B33" s="175"/>
      <c r="C33" s="176"/>
      <c r="D33" s="130">
        <f>SUM(D34,D35)</f>
        <v>5840</v>
      </c>
      <c r="E33" s="5"/>
    </row>
    <row r="34" spans="1:5" ht="15.75" customHeight="1" x14ac:dyDescent="0.3">
      <c r="A34" s="178" t="s">
        <v>38</v>
      </c>
      <c r="B34" s="175"/>
      <c r="C34" s="176"/>
      <c r="D34" s="131">
        <f>D5</f>
        <v>5010</v>
      </c>
      <c r="E34" s="5"/>
    </row>
    <row r="35" spans="1:5" ht="15.75" customHeight="1" x14ac:dyDescent="0.3">
      <c r="A35" s="178" t="s">
        <v>41</v>
      </c>
      <c r="B35" s="175"/>
      <c r="C35" s="176"/>
      <c r="D35" s="131">
        <f>D13</f>
        <v>830</v>
      </c>
      <c r="E35" s="5"/>
    </row>
    <row r="36" spans="1:5" ht="15.75" customHeight="1" x14ac:dyDescent="0.3">
      <c r="A36" s="179" t="s">
        <v>45</v>
      </c>
      <c r="B36" s="175"/>
      <c r="C36" s="176"/>
      <c r="D36" s="134">
        <f>D37+D38+D39</f>
        <v>12890</v>
      </c>
      <c r="E36" s="5"/>
    </row>
    <row r="37" spans="1:5" ht="15.75" customHeight="1" x14ac:dyDescent="0.3">
      <c r="A37" s="200" t="s">
        <v>46</v>
      </c>
      <c r="B37" s="193"/>
      <c r="C37" s="194"/>
      <c r="D37" s="201">
        <f>D20</f>
        <v>8000</v>
      </c>
      <c r="E37" s="5"/>
    </row>
    <row r="38" spans="1:5" ht="15.75" customHeight="1" x14ac:dyDescent="0.3">
      <c r="A38" s="180" t="s">
        <v>47</v>
      </c>
      <c r="B38" s="175"/>
      <c r="C38" s="176"/>
      <c r="D38" s="136">
        <f>D22</f>
        <v>3890</v>
      </c>
      <c r="E38" s="5"/>
    </row>
    <row r="39" spans="1:5" ht="15.75" customHeight="1" x14ac:dyDescent="0.3">
      <c r="A39" s="180" t="s">
        <v>51</v>
      </c>
      <c r="B39" s="175"/>
      <c r="C39" s="176"/>
      <c r="D39" s="135">
        <f>D26</f>
        <v>1000</v>
      </c>
      <c r="E39" s="5"/>
    </row>
    <row r="40" spans="1:5" ht="15.75" customHeight="1" x14ac:dyDescent="0.3">
      <c r="A40" s="181" t="s">
        <v>53</v>
      </c>
      <c r="B40" s="175"/>
      <c r="C40" s="176"/>
      <c r="D40" s="138">
        <f>D28</f>
        <v>350</v>
      </c>
      <c r="E40" s="5"/>
    </row>
    <row r="41" spans="1:5" ht="15.75" customHeight="1" x14ac:dyDescent="0.3"/>
    <row r="42" spans="1:5" ht="15.75" customHeight="1" x14ac:dyDescent="0.3"/>
    <row r="43" spans="1:5" ht="15.75" customHeight="1" x14ac:dyDescent="0.3"/>
    <row r="44" spans="1:5" ht="15.75" customHeight="1" x14ac:dyDescent="0.3"/>
    <row r="45" spans="1:5" ht="15.75" customHeight="1" x14ac:dyDescent="0.3"/>
    <row r="46" spans="1:5" ht="15.75" customHeight="1" x14ac:dyDescent="0.3"/>
    <row r="47" spans="1:5" ht="15.75" customHeight="1" x14ac:dyDescent="0.3"/>
    <row r="48" spans="1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9">
    <mergeCell ref="A39:C39"/>
    <mergeCell ref="A40:C40"/>
    <mergeCell ref="A22:C22"/>
    <mergeCell ref="A26:C26"/>
    <mergeCell ref="A28:C28"/>
    <mergeCell ref="A32:C32"/>
    <mergeCell ref="A33:C33"/>
    <mergeCell ref="A34:C34"/>
    <mergeCell ref="A35:C35"/>
    <mergeCell ref="A19:C19"/>
    <mergeCell ref="A20:C20"/>
    <mergeCell ref="A36:C36"/>
    <mergeCell ref="A37:C37"/>
    <mergeCell ref="A38:C38"/>
    <mergeCell ref="A2:D2"/>
    <mergeCell ref="A3:C3"/>
    <mergeCell ref="A4:C4"/>
    <mergeCell ref="A5:C5"/>
    <mergeCell ref="A13:C1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88"/>
  <sheetViews>
    <sheetView topLeftCell="A4" zoomScale="85" zoomScaleNormal="85" workbookViewId="0">
      <selection activeCell="N33" sqref="N33"/>
    </sheetView>
  </sheetViews>
  <sheetFormatPr baseColWidth="10" defaultColWidth="12.5546875" defaultRowHeight="15" customHeight="1" x14ac:dyDescent="0.3"/>
  <cols>
    <col min="1" max="1" width="10.5546875" customWidth="1"/>
    <col min="2" max="2" width="25.88671875" customWidth="1"/>
    <col min="3" max="4" width="10.5546875" customWidth="1"/>
    <col min="5" max="5" width="13.109375" customWidth="1"/>
    <col min="6" max="26" width="10.5546875" customWidth="1"/>
  </cols>
  <sheetData>
    <row r="1" spans="2:17" ht="14.4" x14ac:dyDescent="0.3">
      <c r="O1" s="9"/>
    </row>
    <row r="2" spans="2:17" ht="14.4" x14ac:dyDescent="0.3">
      <c r="B2" s="182" t="s">
        <v>55</v>
      </c>
      <c r="C2" s="183"/>
      <c r="D2" s="183"/>
      <c r="E2" s="184"/>
      <c r="O2" s="9"/>
    </row>
    <row r="3" spans="2:17" ht="14.4" x14ac:dyDescent="0.3">
      <c r="O3" s="9"/>
    </row>
    <row r="4" spans="2:17" ht="14.4" x14ac:dyDescent="0.3">
      <c r="B4" s="185" t="s">
        <v>56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7"/>
      <c r="O4" s="10"/>
    </row>
    <row r="5" spans="2:17" ht="14.4" x14ac:dyDescent="0.3">
      <c r="B5" s="11" t="s">
        <v>57</v>
      </c>
      <c r="C5" s="12" t="s">
        <v>58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2" t="s">
        <v>64</v>
      </c>
      <c r="J5" s="12" t="s">
        <v>65</v>
      </c>
      <c r="K5" s="12" t="s">
        <v>66</v>
      </c>
      <c r="L5" s="12" t="s">
        <v>67</v>
      </c>
      <c r="M5" s="12" t="s">
        <v>68</v>
      </c>
      <c r="N5" s="12" t="s">
        <v>69</v>
      </c>
      <c r="O5" s="10"/>
    </row>
    <row r="6" spans="2:17" ht="14.4" x14ac:dyDescent="0.3">
      <c r="B6" s="13" t="s">
        <v>161</v>
      </c>
      <c r="C6" s="8">
        <v>120</v>
      </c>
      <c r="D6" s="14">
        <v>0</v>
      </c>
      <c r="E6" s="8">
        <v>0</v>
      </c>
      <c r="F6" s="8">
        <v>0</v>
      </c>
      <c r="G6" s="8">
        <v>120</v>
      </c>
      <c r="H6" s="14">
        <v>0</v>
      </c>
      <c r="I6" s="8">
        <v>0</v>
      </c>
      <c r="J6" s="14">
        <v>0</v>
      </c>
      <c r="K6" s="154">
        <v>120</v>
      </c>
      <c r="L6" s="8">
        <v>0</v>
      </c>
      <c r="M6" s="7">
        <v>0</v>
      </c>
      <c r="N6" s="15">
        <v>0</v>
      </c>
      <c r="O6" s="10">
        <f>SUM(C6:N6)</f>
        <v>360</v>
      </c>
    </row>
    <row r="7" spans="2:17" ht="28.8" x14ac:dyDescent="0.3">
      <c r="B7" s="13" t="s">
        <v>162</v>
      </c>
      <c r="C7" s="7">
        <v>120</v>
      </c>
      <c r="D7" s="7">
        <v>0</v>
      </c>
      <c r="E7" s="7">
        <v>0</v>
      </c>
      <c r="F7" s="7">
        <v>120</v>
      </c>
      <c r="G7" s="7">
        <v>120</v>
      </c>
      <c r="H7" s="7">
        <v>0</v>
      </c>
      <c r="I7" s="7">
        <v>120</v>
      </c>
      <c r="J7" s="7">
        <v>0</v>
      </c>
      <c r="K7" s="7">
        <v>0</v>
      </c>
      <c r="L7" s="7">
        <v>120</v>
      </c>
      <c r="M7" s="7">
        <v>120</v>
      </c>
      <c r="N7" s="7">
        <v>0</v>
      </c>
      <c r="O7" s="10">
        <f>SUM(C7:N7)</f>
        <v>720</v>
      </c>
    </row>
    <row r="8" spans="2:17" thickBot="1" x14ac:dyDescent="0.35">
      <c r="B8" s="13" t="s">
        <v>70</v>
      </c>
      <c r="C8" s="7">
        <v>140</v>
      </c>
      <c r="D8" s="7">
        <v>140</v>
      </c>
      <c r="E8" s="7">
        <v>140</v>
      </c>
      <c r="F8" s="7">
        <v>140</v>
      </c>
      <c r="G8" s="7">
        <v>0</v>
      </c>
      <c r="H8" s="7">
        <v>140</v>
      </c>
      <c r="I8" s="7">
        <v>0</v>
      </c>
      <c r="J8" s="7">
        <v>140</v>
      </c>
      <c r="K8" s="7">
        <v>140</v>
      </c>
      <c r="L8" s="7">
        <v>0</v>
      </c>
      <c r="M8" s="7">
        <v>140</v>
      </c>
      <c r="N8" s="7">
        <v>140</v>
      </c>
      <c r="O8" s="10">
        <f>SUM(D8+C8+E8+F8+H8+J8+K8+M8+N8+L8)</f>
        <v>1260</v>
      </c>
    </row>
    <row r="9" spans="2:17" ht="29.4" thickBot="1" x14ac:dyDescent="0.35">
      <c r="B9" s="16" t="s">
        <v>71</v>
      </c>
      <c r="C9" s="17">
        <f t="shared" ref="C9:N9" si="0">SUM(C6:C8)</f>
        <v>380</v>
      </c>
      <c r="D9" s="17">
        <f t="shared" si="0"/>
        <v>140</v>
      </c>
      <c r="E9" s="17">
        <f t="shared" si="0"/>
        <v>140</v>
      </c>
      <c r="F9" s="17">
        <f t="shared" si="0"/>
        <v>260</v>
      </c>
      <c r="G9" s="17">
        <f t="shared" si="0"/>
        <v>240</v>
      </c>
      <c r="H9" s="17">
        <f t="shared" si="0"/>
        <v>140</v>
      </c>
      <c r="I9" s="17">
        <f t="shared" si="0"/>
        <v>120</v>
      </c>
      <c r="J9" s="17">
        <f t="shared" si="0"/>
        <v>140</v>
      </c>
      <c r="K9" s="18">
        <f>SUM(K6:K8)</f>
        <v>260</v>
      </c>
      <c r="L9" s="18">
        <f t="shared" si="0"/>
        <v>120</v>
      </c>
      <c r="M9" s="18">
        <f t="shared" si="0"/>
        <v>260</v>
      </c>
      <c r="N9" s="18">
        <f t="shared" si="0"/>
        <v>140</v>
      </c>
      <c r="O9" s="19">
        <f>SUM(C9:N9)</f>
        <v>2340</v>
      </c>
      <c r="P9" s="20"/>
    </row>
    <row r="10" spans="2:17" ht="14.4" x14ac:dyDescent="0.3">
      <c r="B10" s="21"/>
      <c r="C10" s="21"/>
      <c r="D10" s="21"/>
      <c r="E10" s="21"/>
      <c r="F10" s="21"/>
      <c r="G10" s="21"/>
      <c r="H10" s="22"/>
      <c r="I10" s="21"/>
      <c r="J10" s="21"/>
      <c r="K10" s="21"/>
      <c r="L10" s="21"/>
      <c r="M10" s="21"/>
      <c r="N10" s="21"/>
      <c r="O10" s="23"/>
    </row>
    <row r="11" spans="2:17" ht="14.4" x14ac:dyDescent="0.3">
      <c r="B11" s="185" t="s">
        <v>72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7"/>
      <c r="O11" s="10"/>
    </row>
    <row r="12" spans="2:17" ht="14.4" x14ac:dyDescent="0.3">
      <c r="B12" s="24" t="s">
        <v>73</v>
      </c>
      <c r="C12" s="25" t="s">
        <v>58</v>
      </c>
      <c r="D12" s="25" t="s">
        <v>59</v>
      </c>
      <c r="E12" s="25" t="s">
        <v>60</v>
      </c>
      <c r="F12" s="25" t="s">
        <v>61</v>
      </c>
      <c r="G12" s="25" t="s">
        <v>62</v>
      </c>
      <c r="H12" s="25" t="s">
        <v>63</v>
      </c>
      <c r="I12" s="25" t="s">
        <v>64</v>
      </c>
      <c r="J12" s="25" t="s">
        <v>65</v>
      </c>
      <c r="K12" s="25" t="s">
        <v>66</v>
      </c>
      <c r="L12" s="25" t="s">
        <v>67</v>
      </c>
      <c r="M12" s="25" t="s">
        <v>68</v>
      </c>
      <c r="N12" s="25" t="s">
        <v>69</v>
      </c>
      <c r="O12" s="10"/>
    </row>
    <row r="13" spans="2:17" ht="14.4" x14ac:dyDescent="0.3">
      <c r="B13" s="26" t="s">
        <v>74</v>
      </c>
      <c r="C13" s="7">
        <v>100</v>
      </c>
      <c r="D13" s="7">
        <v>100</v>
      </c>
      <c r="E13" s="7">
        <v>100</v>
      </c>
      <c r="F13" s="7">
        <v>100</v>
      </c>
      <c r="G13" s="7">
        <v>100</v>
      </c>
      <c r="H13" s="7">
        <v>100</v>
      </c>
      <c r="I13" s="7">
        <v>100</v>
      </c>
      <c r="J13" s="7">
        <v>100</v>
      </c>
      <c r="K13" s="7">
        <v>100</v>
      </c>
      <c r="L13" s="7">
        <v>100</v>
      </c>
      <c r="M13" s="7">
        <v>100</v>
      </c>
      <c r="N13" s="7">
        <v>100</v>
      </c>
      <c r="O13" s="10">
        <f>SUM(C13:N13)</f>
        <v>1200</v>
      </c>
    </row>
    <row r="14" spans="2:17" ht="14.4" x14ac:dyDescent="0.3">
      <c r="B14" s="26" t="s">
        <v>75</v>
      </c>
      <c r="C14" s="7">
        <v>30</v>
      </c>
      <c r="D14" s="7">
        <v>30</v>
      </c>
      <c r="E14" s="7">
        <v>30</v>
      </c>
      <c r="F14" s="7">
        <v>30</v>
      </c>
      <c r="G14" s="7">
        <v>30</v>
      </c>
      <c r="H14" s="7">
        <v>30</v>
      </c>
      <c r="I14" s="7">
        <v>30</v>
      </c>
      <c r="J14" s="7">
        <v>30</v>
      </c>
      <c r="K14" s="7">
        <v>30</v>
      </c>
      <c r="L14" s="7">
        <v>30</v>
      </c>
      <c r="M14" s="7">
        <v>30</v>
      </c>
      <c r="N14" s="7">
        <v>30</v>
      </c>
      <c r="O14" s="10">
        <f t="shared" ref="O14:O16" si="1">SUM(C14:N14)</f>
        <v>360</v>
      </c>
    </row>
    <row r="15" spans="2:17" ht="14.4" x14ac:dyDescent="0.3">
      <c r="B15" s="26" t="s">
        <v>76</v>
      </c>
      <c r="C15" s="7">
        <v>100</v>
      </c>
      <c r="D15" s="7">
        <v>100</v>
      </c>
      <c r="E15" s="7">
        <v>100</v>
      </c>
      <c r="F15" s="7">
        <v>100</v>
      </c>
      <c r="G15" s="7">
        <v>100</v>
      </c>
      <c r="H15" s="7">
        <v>100</v>
      </c>
      <c r="I15" s="7">
        <v>100</v>
      </c>
      <c r="J15" s="7">
        <v>100</v>
      </c>
      <c r="K15" s="7">
        <v>100</v>
      </c>
      <c r="L15" s="7">
        <v>100</v>
      </c>
      <c r="M15" s="7">
        <v>100</v>
      </c>
      <c r="N15" s="7">
        <v>100</v>
      </c>
      <c r="O15" s="10">
        <f t="shared" si="1"/>
        <v>1200</v>
      </c>
      <c r="Q15" s="148">
        <f>C9+N17+M25</f>
        <v>3920</v>
      </c>
    </row>
    <row r="16" spans="2:17" thickBot="1" x14ac:dyDescent="0.35">
      <c r="B16" s="26" t="s">
        <v>77</v>
      </c>
      <c r="C16" s="7">
        <v>250</v>
      </c>
      <c r="D16" s="7">
        <v>280</v>
      </c>
      <c r="E16" s="7">
        <v>280</v>
      </c>
      <c r="F16" s="7">
        <v>280</v>
      </c>
      <c r="G16" s="7">
        <v>280</v>
      </c>
      <c r="H16" s="7">
        <v>280</v>
      </c>
      <c r="I16" s="7">
        <v>280</v>
      </c>
      <c r="J16" s="7">
        <v>280</v>
      </c>
      <c r="K16" s="7">
        <v>280</v>
      </c>
      <c r="L16" s="7">
        <v>280</v>
      </c>
      <c r="M16" s="7">
        <v>280</v>
      </c>
      <c r="N16" s="7">
        <v>280</v>
      </c>
      <c r="O16" s="10">
        <f t="shared" si="1"/>
        <v>3330</v>
      </c>
    </row>
    <row r="17" spans="1:15" ht="15.75" customHeight="1" thickBot="1" x14ac:dyDescent="0.35">
      <c r="B17" s="24" t="s">
        <v>78</v>
      </c>
      <c r="C17" s="18">
        <f>SUM(C13:C16)</f>
        <v>480</v>
      </c>
      <c r="D17" s="18">
        <f>SUM(D13:D16)</f>
        <v>510</v>
      </c>
      <c r="E17" s="18">
        <f>SUM(E13:E16)</f>
        <v>510</v>
      </c>
      <c r="F17" s="18">
        <f>SUM(F13:F16)</f>
        <v>510</v>
      </c>
      <c r="G17" s="18">
        <f>SUM(G13:G16)</f>
        <v>510</v>
      </c>
      <c r="H17" s="18">
        <f>SUM(H13:H16)</f>
        <v>510</v>
      </c>
      <c r="I17" s="18">
        <f>SUM(I13:I16)</f>
        <v>510</v>
      </c>
      <c r="J17" s="18">
        <f>SUM(J13:J16)</f>
        <v>510</v>
      </c>
      <c r="K17" s="18">
        <f>SUM(K13:K16)</f>
        <v>510</v>
      </c>
      <c r="L17" s="18">
        <f>SUM(L13:L16)</f>
        <v>510</v>
      </c>
      <c r="M17" s="18">
        <f>SUM(M13:M16)</f>
        <v>510</v>
      </c>
      <c r="N17" s="18">
        <f>SUM(N13:N16)</f>
        <v>510</v>
      </c>
      <c r="O17" s="27">
        <f>SUM(C17:N17)</f>
        <v>6090</v>
      </c>
    </row>
    <row r="18" spans="1:15" ht="15.75" customHeight="1" x14ac:dyDescent="0.3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</row>
    <row r="19" spans="1:15" ht="15.75" customHeight="1" x14ac:dyDescent="0.3">
      <c r="B19" s="188" t="s">
        <v>79</v>
      </c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90"/>
    </row>
    <row r="20" spans="1:15" ht="15.75" customHeight="1" x14ac:dyDescent="0.3">
      <c r="B20" s="30" t="s">
        <v>80</v>
      </c>
      <c r="C20" s="31" t="s">
        <v>58</v>
      </c>
      <c r="D20" s="31" t="s">
        <v>59</v>
      </c>
      <c r="E20" s="31" t="s">
        <v>60</v>
      </c>
      <c r="F20" s="31" t="s">
        <v>61</v>
      </c>
      <c r="G20" s="31" t="s">
        <v>62</v>
      </c>
      <c r="H20" s="31" t="s">
        <v>63</v>
      </c>
      <c r="I20" s="31" t="s">
        <v>64</v>
      </c>
      <c r="J20" s="31" t="s">
        <v>65</v>
      </c>
      <c r="K20" s="31" t="s">
        <v>66</v>
      </c>
      <c r="L20" s="31" t="s">
        <v>67</v>
      </c>
      <c r="M20" s="31" t="s">
        <v>68</v>
      </c>
      <c r="N20" s="32" t="s">
        <v>69</v>
      </c>
      <c r="O20" s="33"/>
    </row>
    <row r="21" spans="1:15" ht="14.4" x14ac:dyDescent="0.3">
      <c r="B21" s="26" t="s">
        <v>163</v>
      </c>
      <c r="C21" s="34">
        <v>1015</v>
      </c>
      <c r="D21" s="34">
        <v>1015</v>
      </c>
      <c r="E21" s="34">
        <v>1015</v>
      </c>
      <c r="F21" s="34">
        <v>1015</v>
      </c>
      <c r="G21" s="34">
        <v>1015</v>
      </c>
      <c r="H21" s="34">
        <v>1015</v>
      </c>
      <c r="I21" s="34">
        <v>1015</v>
      </c>
      <c r="J21" s="34">
        <v>1015</v>
      </c>
      <c r="K21" s="34">
        <v>1015</v>
      </c>
      <c r="L21" s="34">
        <v>1015</v>
      </c>
      <c r="M21" s="34">
        <v>1015</v>
      </c>
      <c r="N21" s="34">
        <v>1015</v>
      </c>
      <c r="O21" s="35">
        <f>SUM(C21:N21)</f>
        <v>12180</v>
      </c>
    </row>
    <row r="22" spans="1:15" ht="14.4" x14ac:dyDescent="0.3">
      <c r="B22" s="26" t="s">
        <v>164</v>
      </c>
      <c r="C22" s="34">
        <v>1015</v>
      </c>
      <c r="D22" s="34">
        <v>1015</v>
      </c>
      <c r="E22" s="34">
        <v>1015</v>
      </c>
      <c r="F22" s="34">
        <v>1015</v>
      </c>
      <c r="G22" s="34">
        <v>1015</v>
      </c>
      <c r="H22" s="34">
        <v>1015</v>
      </c>
      <c r="I22" s="34">
        <v>1015</v>
      </c>
      <c r="J22" s="34">
        <v>1015</v>
      </c>
      <c r="K22" s="34">
        <v>1015</v>
      </c>
      <c r="L22" s="34">
        <v>1015</v>
      </c>
      <c r="M22" s="34">
        <v>1015</v>
      </c>
      <c r="N22" s="34">
        <v>1015</v>
      </c>
      <c r="O22" s="35">
        <f t="shared" ref="O22:O24" si="2">SUM(C22:N22)</f>
        <v>12180</v>
      </c>
    </row>
    <row r="23" spans="1:15" ht="14.4" x14ac:dyDescent="0.3">
      <c r="A23" s="159">
        <v>0.05</v>
      </c>
      <c r="B23" s="26" t="s">
        <v>176</v>
      </c>
      <c r="C23" s="34">
        <v>500</v>
      </c>
      <c r="D23" s="34">
        <v>500</v>
      </c>
      <c r="E23" s="34">
        <v>500</v>
      </c>
      <c r="F23" s="34">
        <v>500</v>
      </c>
      <c r="G23" s="34">
        <v>500</v>
      </c>
      <c r="H23" s="34">
        <v>500</v>
      </c>
      <c r="I23" s="34">
        <v>500</v>
      </c>
      <c r="J23" s="34">
        <v>500</v>
      </c>
      <c r="K23" s="34">
        <v>500</v>
      </c>
      <c r="L23" s="34">
        <v>500</v>
      </c>
      <c r="M23" s="34">
        <v>500</v>
      </c>
      <c r="N23" s="34">
        <v>500</v>
      </c>
      <c r="O23" s="35">
        <f t="shared" si="2"/>
        <v>6000</v>
      </c>
    </row>
    <row r="24" spans="1:15" ht="14.4" x14ac:dyDescent="0.3">
      <c r="B24" s="26" t="s">
        <v>175</v>
      </c>
      <c r="C24" s="34">
        <v>500</v>
      </c>
      <c r="D24" s="34">
        <v>500</v>
      </c>
      <c r="E24" s="34">
        <v>500</v>
      </c>
      <c r="F24" s="34">
        <v>500</v>
      </c>
      <c r="G24" s="34">
        <v>500</v>
      </c>
      <c r="H24" s="34">
        <v>500</v>
      </c>
      <c r="I24" s="34">
        <v>500</v>
      </c>
      <c r="J24" s="34">
        <v>500</v>
      </c>
      <c r="K24" s="34">
        <v>500</v>
      </c>
      <c r="L24" s="34">
        <v>500</v>
      </c>
      <c r="M24" s="34">
        <v>500</v>
      </c>
      <c r="N24" s="34">
        <v>500</v>
      </c>
      <c r="O24" s="35">
        <f t="shared" si="2"/>
        <v>6000</v>
      </c>
    </row>
    <row r="25" spans="1:15" ht="15.75" customHeight="1" x14ac:dyDescent="0.3">
      <c r="B25" s="36" t="s">
        <v>81</v>
      </c>
      <c r="C25" s="37">
        <f>SUM(C21:C24)</f>
        <v>3030</v>
      </c>
      <c r="D25" s="37">
        <f t="shared" ref="D25:N25" si="3">SUM(D21:D24)</f>
        <v>3030</v>
      </c>
      <c r="E25" s="37">
        <f t="shared" si="3"/>
        <v>3030</v>
      </c>
      <c r="F25" s="37">
        <f t="shared" si="3"/>
        <v>3030</v>
      </c>
      <c r="G25" s="37">
        <f t="shared" si="3"/>
        <v>3030</v>
      </c>
      <c r="H25" s="37">
        <f t="shared" si="3"/>
        <v>3030</v>
      </c>
      <c r="I25" s="37">
        <f t="shared" si="3"/>
        <v>3030</v>
      </c>
      <c r="J25" s="37">
        <f t="shared" si="3"/>
        <v>3030</v>
      </c>
      <c r="K25" s="37">
        <f t="shared" si="3"/>
        <v>3030</v>
      </c>
      <c r="L25" s="37">
        <f t="shared" si="3"/>
        <v>3030</v>
      </c>
      <c r="M25" s="37">
        <f t="shared" si="3"/>
        <v>3030</v>
      </c>
      <c r="N25" s="37">
        <f t="shared" si="3"/>
        <v>3030</v>
      </c>
      <c r="O25" s="38">
        <f>SUM(C25:N25)</f>
        <v>36360</v>
      </c>
    </row>
    <row r="26" spans="1:15" ht="15.75" customHeight="1" x14ac:dyDescent="0.3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10"/>
    </row>
    <row r="27" spans="1:15" ht="15.75" customHeight="1" x14ac:dyDescent="0.3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0"/>
    </row>
    <row r="28" spans="1:15" ht="15.75" customHeight="1" x14ac:dyDescent="0.3">
      <c r="B28" s="21"/>
      <c r="G28" s="21"/>
      <c r="H28" s="21"/>
      <c r="I28" s="21"/>
      <c r="J28" s="21"/>
      <c r="K28" s="21"/>
      <c r="L28" s="21"/>
      <c r="M28" s="21"/>
      <c r="N28" s="21"/>
      <c r="O28" s="10"/>
    </row>
    <row r="29" spans="1:15" ht="15.75" customHeight="1" x14ac:dyDescent="0.3">
      <c r="B29" s="21"/>
      <c r="C29" s="21"/>
      <c r="D29" s="39"/>
      <c r="E29" s="39"/>
      <c r="F29" s="39"/>
      <c r="G29" s="21"/>
      <c r="H29" s="21"/>
      <c r="I29" s="21"/>
      <c r="J29" s="21"/>
      <c r="K29" s="21"/>
      <c r="L29" s="21"/>
      <c r="M29" s="21"/>
      <c r="N29" s="21"/>
      <c r="O29" s="10"/>
    </row>
    <row r="30" spans="1:15" ht="15.75" customHeight="1" x14ac:dyDescent="0.3">
      <c r="B30" s="21"/>
      <c r="C30" s="40"/>
      <c r="D30" s="41" t="s">
        <v>82</v>
      </c>
      <c r="E30" s="41" t="s">
        <v>83</v>
      </c>
      <c r="F30" s="41" t="s">
        <v>84</v>
      </c>
      <c r="G30" s="21"/>
      <c r="H30" s="21"/>
      <c r="I30" s="21"/>
      <c r="J30" s="21"/>
      <c r="K30" s="21"/>
      <c r="L30" s="21"/>
      <c r="M30" s="21"/>
      <c r="N30" s="21"/>
      <c r="O30" s="10"/>
    </row>
    <row r="31" spans="1:15" ht="15.75" customHeight="1" x14ac:dyDescent="0.3">
      <c r="B31" s="21"/>
      <c r="C31" s="40"/>
      <c r="D31" s="42" t="s">
        <v>48</v>
      </c>
      <c r="E31" s="155">
        <f>F31/12</f>
        <v>195</v>
      </c>
      <c r="F31" s="44">
        <f>O9</f>
        <v>2340</v>
      </c>
      <c r="G31" s="21"/>
      <c r="H31" s="21"/>
      <c r="I31" s="21"/>
      <c r="J31" s="21"/>
      <c r="K31" s="21"/>
      <c r="L31" s="21"/>
      <c r="M31" s="21"/>
      <c r="N31" s="21"/>
      <c r="O31" s="10"/>
    </row>
    <row r="32" spans="1:15" ht="15.75" customHeight="1" x14ac:dyDescent="0.3">
      <c r="B32" s="21"/>
      <c r="C32" s="40"/>
      <c r="D32" s="42" t="s">
        <v>49</v>
      </c>
      <c r="E32" s="43">
        <f t="shared" ref="E32" si="4">F32/12</f>
        <v>507.5</v>
      </c>
      <c r="F32" s="44">
        <f>O17</f>
        <v>6090</v>
      </c>
      <c r="G32" s="21"/>
      <c r="H32" s="21"/>
      <c r="I32" s="21"/>
      <c r="J32" s="21"/>
      <c r="K32" s="21"/>
      <c r="L32" s="21"/>
      <c r="M32" s="21"/>
      <c r="N32" s="21"/>
      <c r="O32" s="10"/>
    </row>
    <row r="33" spans="2:15" ht="15.75" customHeight="1" x14ac:dyDescent="0.3">
      <c r="B33" s="21"/>
      <c r="C33" s="40"/>
      <c r="D33" s="42" t="s">
        <v>50</v>
      </c>
      <c r="E33" s="43">
        <f>F33/12</f>
        <v>3030</v>
      </c>
      <c r="F33" s="44">
        <f>O25</f>
        <v>36360</v>
      </c>
      <c r="G33" s="21"/>
      <c r="H33" s="21"/>
      <c r="I33" s="21"/>
      <c r="J33" s="21"/>
      <c r="K33" s="21"/>
      <c r="L33" s="21"/>
      <c r="M33" s="21"/>
      <c r="N33" s="21"/>
      <c r="O33" s="10"/>
    </row>
    <row r="34" spans="2:15" ht="15.75" customHeight="1" x14ac:dyDescent="0.3">
      <c r="B34" s="21"/>
      <c r="C34" s="21"/>
      <c r="D34" s="40"/>
      <c r="E34" s="156">
        <f>SUM(E31:E33)</f>
        <v>3732.5</v>
      </c>
      <c r="F34" s="45">
        <f>SUM(F31:F33)</f>
        <v>44790</v>
      </c>
      <c r="G34" s="21"/>
      <c r="H34" s="21"/>
      <c r="I34" s="21"/>
      <c r="J34" s="21"/>
      <c r="K34" s="21"/>
      <c r="L34" s="21"/>
      <c r="M34" s="21"/>
      <c r="N34" s="21"/>
      <c r="O34" s="10"/>
    </row>
    <row r="35" spans="2:15" ht="15.75" customHeight="1" x14ac:dyDescent="0.3">
      <c r="B35" s="39"/>
      <c r="C35" s="39"/>
      <c r="D35" s="39"/>
      <c r="E35" s="28"/>
      <c r="F35" s="28"/>
      <c r="G35" s="28"/>
      <c r="H35" s="28"/>
      <c r="I35" s="21"/>
      <c r="J35" s="21"/>
      <c r="K35" s="21"/>
      <c r="L35" s="21"/>
      <c r="M35" s="21"/>
      <c r="N35" s="21"/>
      <c r="O35" s="10"/>
    </row>
    <row r="36" spans="2:15" ht="15.75" customHeight="1" x14ac:dyDescent="0.3">
      <c r="B36" s="46"/>
      <c r="C36" s="47">
        <v>2026</v>
      </c>
      <c r="D36" s="48">
        <v>2027</v>
      </c>
      <c r="E36" s="49">
        <v>2028</v>
      </c>
      <c r="F36" s="50"/>
      <c r="G36" s="50"/>
      <c r="H36" s="50"/>
      <c r="I36" s="51"/>
      <c r="J36" s="21"/>
      <c r="K36" s="21"/>
      <c r="L36" s="10"/>
    </row>
    <row r="37" spans="2:15" ht="28.8" thickBot="1" x14ac:dyDescent="0.35">
      <c r="B37" s="52" t="s">
        <v>85</v>
      </c>
      <c r="C37" s="53">
        <f>F34</f>
        <v>44790</v>
      </c>
      <c r="D37" s="157">
        <f>C37*1.03</f>
        <v>46133.700000000004</v>
      </c>
      <c r="E37" s="158">
        <f>D37*1.03</f>
        <v>47517.711000000003</v>
      </c>
      <c r="F37" s="54"/>
      <c r="G37" s="54"/>
      <c r="H37" s="54"/>
      <c r="I37" s="21"/>
      <c r="J37" s="21"/>
      <c r="K37" s="21"/>
      <c r="L37" s="10"/>
    </row>
    <row r="38" spans="2:15" ht="15.75" customHeight="1" thickBot="1" x14ac:dyDescent="0.35">
      <c r="B38" s="28"/>
      <c r="C38" s="28"/>
      <c r="D38" s="28"/>
      <c r="E38" s="28"/>
      <c r="F38" s="28"/>
      <c r="G38" s="28"/>
      <c r="H38" s="28"/>
      <c r="I38" s="21"/>
      <c r="J38" s="21"/>
      <c r="K38" s="21"/>
      <c r="L38" s="21"/>
      <c r="M38" s="21"/>
      <c r="N38" s="21"/>
      <c r="O38" s="10"/>
    </row>
    <row r="39" spans="2:15" ht="15.75" customHeight="1" x14ac:dyDescent="0.3">
      <c r="O39" s="9"/>
    </row>
    <row r="40" spans="2:15" ht="15.75" customHeight="1" x14ac:dyDescent="0.3">
      <c r="O40" s="9"/>
    </row>
    <row r="41" spans="2:15" ht="15.75" customHeight="1" x14ac:dyDescent="0.3">
      <c r="O41" s="9"/>
    </row>
    <row r="42" spans="2:15" ht="15.75" customHeight="1" x14ac:dyDescent="0.3">
      <c r="O42" s="9"/>
    </row>
    <row r="43" spans="2:15" ht="15.75" customHeight="1" x14ac:dyDescent="0.3">
      <c r="O43" s="9"/>
    </row>
    <row r="44" spans="2:15" ht="15.75" customHeight="1" x14ac:dyDescent="0.3">
      <c r="O44" s="9"/>
    </row>
    <row r="45" spans="2:15" ht="15.75" customHeight="1" x14ac:dyDescent="0.3">
      <c r="O45" s="9"/>
    </row>
    <row r="46" spans="2:15" ht="15.75" customHeight="1" x14ac:dyDescent="0.3">
      <c r="O46" s="9"/>
    </row>
    <row r="47" spans="2:15" ht="15.75" customHeight="1" x14ac:dyDescent="0.3">
      <c r="O47" s="9"/>
    </row>
    <row r="48" spans="2:15" ht="15.75" customHeight="1" x14ac:dyDescent="0.3">
      <c r="O48" s="9"/>
    </row>
    <row r="49" spans="15:15" ht="15.75" customHeight="1" x14ac:dyDescent="0.3">
      <c r="O49" s="9"/>
    </row>
    <row r="50" spans="15:15" ht="15.75" customHeight="1" x14ac:dyDescent="0.3">
      <c r="O50" s="9"/>
    </row>
    <row r="51" spans="15:15" ht="15.75" customHeight="1" x14ac:dyDescent="0.3">
      <c r="O51" s="9"/>
    </row>
    <row r="52" spans="15:15" ht="15.75" customHeight="1" x14ac:dyDescent="0.3">
      <c r="O52" s="9"/>
    </row>
    <row r="53" spans="15:15" ht="15.75" customHeight="1" x14ac:dyDescent="0.3">
      <c r="O53" s="9"/>
    </row>
    <row r="54" spans="15:15" ht="15.75" customHeight="1" x14ac:dyDescent="0.3">
      <c r="O54" s="9"/>
    </row>
    <row r="55" spans="15:15" ht="15.75" customHeight="1" x14ac:dyDescent="0.3">
      <c r="O55" s="9"/>
    </row>
    <row r="56" spans="15:15" ht="15.75" customHeight="1" x14ac:dyDescent="0.3">
      <c r="O56" s="9"/>
    </row>
    <row r="57" spans="15:15" ht="15.75" customHeight="1" x14ac:dyDescent="0.3">
      <c r="O57" s="9"/>
    </row>
    <row r="58" spans="15:15" ht="15.75" customHeight="1" x14ac:dyDescent="0.3">
      <c r="O58" s="9"/>
    </row>
    <row r="59" spans="15:15" ht="15.75" customHeight="1" x14ac:dyDescent="0.3">
      <c r="O59" s="9"/>
    </row>
    <row r="60" spans="15:15" ht="15.75" customHeight="1" x14ac:dyDescent="0.3">
      <c r="O60" s="9"/>
    </row>
    <row r="61" spans="15:15" ht="15.75" customHeight="1" x14ac:dyDescent="0.3">
      <c r="O61" s="9"/>
    </row>
    <row r="62" spans="15:15" ht="15.75" customHeight="1" x14ac:dyDescent="0.3">
      <c r="O62" s="9"/>
    </row>
    <row r="63" spans="15:15" ht="15.75" customHeight="1" x14ac:dyDescent="0.3">
      <c r="O63" s="9"/>
    </row>
    <row r="64" spans="15:15" ht="15.75" customHeight="1" x14ac:dyDescent="0.3">
      <c r="O64" s="9"/>
    </row>
    <row r="65" spans="15:15" ht="15.75" customHeight="1" x14ac:dyDescent="0.3">
      <c r="O65" s="9"/>
    </row>
    <row r="66" spans="15:15" ht="15.75" customHeight="1" x14ac:dyDescent="0.3">
      <c r="O66" s="9"/>
    </row>
    <row r="67" spans="15:15" ht="15.75" customHeight="1" x14ac:dyDescent="0.3">
      <c r="O67" s="9"/>
    </row>
    <row r="68" spans="15:15" ht="15.75" customHeight="1" x14ac:dyDescent="0.3">
      <c r="O68" s="9"/>
    </row>
    <row r="69" spans="15:15" ht="15.75" customHeight="1" x14ac:dyDescent="0.3">
      <c r="O69" s="9"/>
    </row>
    <row r="70" spans="15:15" ht="15.75" customHeight="1" x14ac:dyDescent="0.3">
      <c r="O70" s="9"/>
    </row>
    <row r="71" spans="15:15" ht="15.75" customHeight="1" x14ac:dyDescent="0.3">
      <c r="O71" s="9"/>
    </row>
    <row r="72" spans="15:15" ht="15.75" customHeight="1" x14ac:dyDescent="0.3">
      <c r="O72" s="9"/>
    </row>
    <row r="73" spans="15:15" ht="15.75" customHeight="1" x14ac:dyDescent="0.3">
      <c r="O73" s="9"/>
    </row>
    <row r="74" spans="15:15" ht="15.75" customHeight="1" x14ac:dyDescent="0.3">
      <c r="O74" s="9"/>
    </row>
    <row r="75" spans="15:15" ht="15.75" customHeight="1" x14ac:dyDescent="0.3">
      <c r="O75" s="9"/>
    </row>
    <row r="76" spans="15:15" ht="15.75" customHeight="1" x14ac:dyDescent="0.3">
      <c r="O76" s="9"/>
    </row>
    <row r="77" spans="15:15" ht="15.75" customHeight="1" x14ac:dyDescent="0.3">
      <c r="O77" s="9"/>
    </row>
    <row r="78" spans="15:15" ht="15.75" customHeight="1" x14ac:dyDescent="0.3">
      <c r="O78" s="9"/>
    </row>
    <row r="79" spans="15:15" ht="15.75" customHeight="1" x14ac:dyDescent="0.3">
      <c r="O79" s="9"/>
    </row>
    <row r="80" spans="15:15" ht="15.75" customHeight="1" x14ac:dyDescent="0.3">
      <c r="O80" s="9"/>
    </row>
    <row r="81" spans="15:15" ht="15.75" customHeight="1" x14ac:dyDescent="0.3">
      <c r="O81" s="9"/>
    </row>
    <row r="82" spans="15:15" ht="15.75" customHeight="1" x14ac:dyDescent="0.3">
      <c r="O82" s="9"/>
    </row>
    <row r="83" spans="15:15" ht="15.75" customHeight="1" x14ac:dyDescent="0.3">
      <c r="O83" s="9"/>
    </row>
    <row r="84" spans="15:15" ht="15.75" customHeight="1" x14ac:dyDescent="0.3">
      <c r="O84" s="9"/>
    </row>
    <row r="85" spans="15:15" ht="15.75" customHeight="1" x14ac:dyDescent="0.3">
      <c r="O85" s="9"/>
    </row>
    <row r="86" spans="15:15" ht="15.75" customHeight="1" x14ac:dyDescent="0.3">
      <c r="O86" s="9"/>
    </row>
    <row r="87" spans="15:15" ht="15.75" customHeight="1" x14ac:dyDescent="0.3">
      <c r="O87" s="9"/>
    </row>
    <row r="88" spans="15:15" ht="15.75" customHeight="1" x14ac:dyDescent="0.3">
      <c r="O88" s="9"/>
    </row>
    <row r="89" spans="15:15" ht="15.75" customHeight="1" x14ac:dyDescent="0.3">
      <c r="O89" s="9"/>
    </row>
    <row r="90" spans="15:15" ht="15.75" customHeight="1" x14ac:dyDescent="0.3">
      <c r="O90" s="9"/>
    </row>
    <row r="91" spans="15:15" ht="15.75" customHeight="1" x14ac:dyDescent="0.3">
      <c r="O91" s="9"/>
    </row>
    <row r="92" spans="15:15" ht="15.75" customHeight="1" x14ac:dyDescent="0.3">
      <c r="O92" s="9"/>
    </row>
    <row r="93" spans="15:15" ht="15.75" customHeight="1" x14ac:dyDescent="0.3">
      <c r="O93" s="9"/>
    </row>
    <row r="94" spans="15:15" ht="15.75" customHeight="1" x14ac:dyDescent="0.3">
      <c r="O94" s="9"/>
    </row>
    <row r="95" spans="15:15" ht="15.75" customHeight="1" x14ac:dyDescent="0.3">
      <c r="O95" s="9"/>
    </row>
    <row r="96" spans="15:15" ht="15.75" customHeight="1" x14ac:dyDescent="0.3">
      <c r="O96" s="9"/>
    </row>
    <row r="97" spans="15:15" ht="15.75" customHeight="1" x14ac:dyDescent="0.3">
      <c r="O97" s="9"/>
    </row>
    <row r="98" spans="15:15" ht="15.75" customHeight="1" x14ac:dyDescent="0.3">
      <c r="O98" s="9"/>
    </row>
    <row r="99" spans="15:15" ht="15.75" customHeight="1" x14ac:dyDescent="0.3">
      <c r="O99" s="9"/>
    </row>
    <row r="100" spans="15:15" ht="15.75" customHeight="1" x14ac:dyDescent="0.3">
      <c r="O100" s="9"/>
    </row>
    <row r="101" spans="15:15" ht="15.75" customHeight="1" x14ac:dyDescent="0.3">
      <c r="O101" s="9"/>
    </row>
    <row r="102" spans="15:15" ht="15.75" customHeight="1" x14ac:dyDescent="0.3">
      <c r="O102" s="9"/>
    </row>
    <row r="103" spans="15:15" ht="15.75" customHeight="1" x14ac:dyDescent="0.3">
      <c r="O103" s="9"/>
    </row>
    <row r="104" spans="15:15" ht="15.75" customHeight="1" x14ac:dyDescent="0.3">
      <c r="O104" s="9"/>
    </row>
    <row r="105" spans="15:15" ht="15.75" customHeight="1" x14ac:dyDescent="0.3">
      <c r="O105" s="9"/>
    </row>
    <row r="106" spans="15:15" ht="15.75" customHeight="1" x14ac:dyDescent="0.3">
      <c r="O106" s="9"/>
    </row>
    <row r="107" spans="15:15" ht="15.75" customHeight="1" x14ac:dyDescent="0.3">
      <c r="O107" s="9"/>
    </row>
    <row r="108" spans="15:15" ht="15.75" customHeight="1" x14ac:dyDescent="0.3">
      <c r="O108" s="9"/>
    </row>
    <row r="109" spans="15:15" ht="15.75" customHeight="1" x14ac:dyDescent="0.3">
      <c r="O109" s="9"/>
    </row>
    <row r="110" spans="15:15" ht="15.75" customHeight="1" x14ac:dyDescent="0.3">
      <c r="O110" s="9"/>
    </row>
    <row r="111" spans="15:15" ht="15.75" customHeight="1" x14ac:dyDescent="0.3">
      <c r="O111" s="9"/>
    </row>
    <row r="112" spans="15:15" ht="15.75" customHeight="1" x14ac:dyDescent="0.3">
      <c r="O112" s="9"/>
    </row>
    <row r="113" spans="15:15" ht="15.75" customHeight="1" x14ac:dyDescent="0.3">
      <c r="O113" s="9"/>
    </row>
    <row r="114" spans="15:15" ht="15.75" customHeight="1" x14ac:dyDescent="0.3">
      <c r="O114" s="9"/>
    </row>
    <row r="115" spans="15:15" ht="15.75" customHeight="1" x14ac:dyDescent="0.3">
      <c r="O115" s="9"/>
    </row>
    <row r="116" spans="15:15" ht="15.75" customHeight="1" x14ac:dyDescent="0.3">
      <c r="O116" s="9"/>
    </row>
    <row r="117" spans="15:15" ht="15.75" customHeight="1" x14ac:dyDescent="0.3">
      <c r="O117" s="9"/>
    </row>
    <row r="118" spans="15:15" ht="15.75" customHeight="1" x14ac:dyDescent="0.3">
      <c r="O118" s="9"/>
    </row>
    <row r="119" spans="15:15" ht="15.75" customHeight="1" x14ac:dyDescent="0.3">
      <c r="O119" s="9"/>
    </row>
    <row r="120" spans="15:15" ht="15.75" customHeight="1" x14ac:dyDescent="0.3">
      <c r="O120" s="9"/>
    </row>
    <row r="121" spans="15:15" ht="15.75" customHeight="1" x14ac:dyDescent="0.3">
      <c r="O121" s="9"/>
    </row>
    <row r="122" spans="15:15" ht="15.75" customHeight="1" x14ac:dyDescent="0.3">
      <c r="O122" s="9"/>
    </row>
    <row r="123" spans="15:15" ht="15.75" customHeight="1" x14ac:dyDescent="0.3">
      <c r="O123" s="9"/>
    </row>
    <row r="124" spans="15:15" ht="15.75" customHeight="1" x14ac:dyDescent="0.3">
      <c r="O124" s="9"/>
    </row>
    <row r="125" spans="15:15" ht="15.75" customHeight="1" x14ac:dyDescent="0.3">
      <c r="O125" s="9"/>
    </row>
    <row r="126" spans="15:15" ht="15.75" customHeight="1" x14ac:dyDescent="0.3">
      <c r="O126" s="9"/>
    </row>
    <row r="127" spans="15:15" ht="15.75" customHeight="1" x14ac:dyDescent="0.3">
      <c r="O127" s="9"/>
    </row>
    <row r="128" spans="15:15" ht="15.75" customHeight="1" x14ac:dyDescent="0.3">
      <c r="O128" s="9"/>
    </row>
    <row r="129" spans="15:15" ht="15.75" customHeight="1" x14ac:dyDescent="0.3">
      <c r="O129" s="9"/>
    </row>
    <row r="130" spans="15:15" ht="15.75" customHeight="1" x14ac:dyDescent="0.3">
      <c r="O130" s="9"/>
    </row>
    <row r="131" spans="15:15" ht="15.75" customHeight="1" x14ac:dyDescent="0.3">
      <c r="O131" s="9"/>
    </row>
    <row r="132" spans="15:15" ht="15.75" customHeight="1" x14ac:dyDescent="0.3">
      <c r="O132" s="9"/>
    </row>
    <row r="133" spans="15:15" ht="15.75" customHeight="1" x14ac:dyDescent="0.3">
      <c r="O133" s="9"/>
    </row>
    <row r="134" spans="15:15" ht="15.75" customHeight="1" x14ac:dyDescent="0.3">
      <c r="O134" s="9"/>
    </row>
    <row r="135" spans="15:15" ht="15.75" customHeight="1" x14ac:dyDescent="0.3">
      <c r="O135" s="9"/>
    </row>
    <row r="136" spans="15:15" ht="15.75" customHeight="1" x14ac:dyDescent="0.3">
      <c r="O136" s="9"/>
    </row>
    <row r="137" spans="15:15" ht="15.75" customHeight="1" x14ac:dyDescent="0.3">
      <c r="O137" s="9"/>
    </row>
    <row r="138" spans="15:15" ht="15.75" customHeight="1" x14ac:dyDescent="0.3">
      <c r="O138" s="9"/>
    </row>
    <row r="139" spans="15:15" ht="15.75" customHeight="1" x14ac:dyDescent="0.3">
      <c r="O139" s="9"/>
    </row>
    <row r="140" spans="15:15" ht="15.75" customHeight="1" x14ac:dyDescent="0.3">
      <c r="O140" s="9"/>
    </row>
    <row r="141" spans="15:15" ht="15.75" customHeight="1" x14ac:dyDescent="0.3">
      <c r="O141" s="9"/>
    </row>
    <row r="142" spans="15:15" ht="15.75" customHeight="1" x14ac:dyDescent="0.3">
      <c r="O142" s="9"/>
    </row>
    <row r="143" spans="15:15" ht="15.75" customHeight="1" x14ac:dyDescent="0.3">
      <c r="O143" s="9"/>
    </row>
    <row r="144" spans="15:15" ht="15.75" customHeight="1" x14ac:dyDescent="0.3">
      <c r="O144" s="9"/>
    </row>
    <row r="145" spans="15:15" ht="15.75" customHeight="1" x14ac:dyDescent="0.3">
      <c r="O145" s="9"/>
    </row>
    <row r="146" spans="15:15" ht="15.75" customHeight="1" x14ac:dyDescent="0.3">
      <c r="O146" s="9"/>
    </row>
    <row r="147" spans="15:15" ht="15.75" customHeight="1" x14ac:dyDescent="0.3">
      <c r="O147" s="9"/>
    </row>
    <row r="148" spans="15:15" ht="15.75" customHeight="1" x14ac:dyDescent="0.3">
      <c r="O148" s="9"/>
    </row>
    <row r="149" spans="15:15" ht="15.75" customHeight="1" x14ac:dyDescent="0.3">
      <c r="O149" s="9"/>
    </row>
    <row r="150" spans="15:15" ht="15.75" customHeight="1" x14ac:dyDescent="0.3">
      <c r="O150" s="9"/>
    </row>
    <row r="151" spans="15:15" ht="15.75" customHeight="1" x14ac:dyDescent="0.3">
      <c r="O151" s="9"/>
    </row>
    <row r="152" spans="15:15" ht="15.75" customHeight="1" x14ac:dyDescent="0.3">
      <c r="O152" s="9"/>
    </row>
    <row r="153" spans="15:15" ht="15.75" customHeight="1" x14ac:dyDescent="0.3">
      <c r="O153" s="9"/>
    </row>
    <row r="154" spans="15:15" ht="15.75" customHeight="1" x14ac:dyDescent="0.3">
      <c r="O154" s="9"/>
    </row>
    <row r="155" spans="15:15" ht="15.75" customHeight="1" x14ac:dyDescent="0.3">
      <c r="O155" s="9"/>
    </row>
    <row r="156" spans="15:15" ht="15.75" customHeight="1" x14ac:dyDescent="0.3">
      <c r="O156" s="9"/>
    </row>
    <row r="157" spans="15:15" ht="15.75" customHeight="1" x14ac:dyDescent="0.3">
      <c r="O157" s="9"/>
    </row>
    <row r="158" spans="15:15" ht="15.75" customHeight="1" x14ac:dyDescent="0.3">
      <c r="O158" s="9"/>
    </row>
    <row r="159" spans="15:15" ht="15.75" customHeight="1" x14ac:dyDescent="0.3">
      <c r="O159" s="9"/>
    </row>
    <row r="160" spans="15:15" ht="15.75" customHeight="1" x14ac:dyDescent="0.3">
      <c r="O160" s="9"/>
    </row>
    <row r="161" spans="15:15" ht="15.75" customHeight="1" x14ac:dyDescent="0.3">
      <c r="O161" s="9"/>
    </row>
    <row r="162" spans="15:15" ht="15.75" customHeight="1" x14ac:dyDescent="0.3">
      <c r="O162" s="9"/>
    </row>
    <row r="163" spans="15:15" ht="15.75" customHeight="1" x14ac:dyDescent="0.3">
      <c r="O163" s="9"/>
    </row>
    <row r="164" spans="15:15" ht="15.75" customHeight="1" x14ac:dyDescent="0.3">
      <c r="O164" s="9"/>
    </row>
    <row r="165" spans="15:15" ht="15.75" customHeight="1" x14ac:dyDescent="0.3">
      <c r="O165" s="9"/>
    </row>
    <row r="166" spans="15:15" ht="15.75" customHeight="1" x14ac:dyDescent="0.3">
      <c r="O166" s="9"/>
    </row>
    <row r="167" spans="15:15" ht="15.75" customHeight="1" x14ac:dyDescent="0.3">
      <c r="O167" s="9"/>
    </row>
    <row r="168" spans="15:15" ht="15.75" customHeight="1" x14ac:dyDescent="0.3">
      <c r="O168" s="9"/>
    </row>
    <row r="169" spans="15:15" ht="15.75" customHeight="1" x14ac:dyDescent="0.3">
      <c r="O169" s="9"/>
    </row>
    <row r="170" spans="15:15" ht="15.75" customHeight="1" x14ac:dyDescent="0.3">
      <c r="O170" s="9"/>
    </row>
    <row r="171" spans="15:15" ht="15.75" customHeight="1" x14ac:dyDescent="0.3">
      <c r="O171" s="9"/>
    </row>
    <row r="172" spans="15:15" ht="15.75" customHeight="1" x14ac:dyDescent="0.3">
      <c r="O172" s="9"/>
    </row>
    <row r="173" spans="15:15" ht="15.75" customHeight="1" x14ac:dyDescent="0.3">
      <c r="O173" s="9"/>
    </row>
    <row r="174" spans="15:15" ht="15.75" customHeight="1" x14ac:dyDescent="0.3">
      <c r="O174" s="9"/>
    </row>
    <row r="175" spans="15:15" ht="15.75" customHeight="1" x14ac:dyDescent="0.3">
      <c r="O175" s="9"/>
    </row>
    <row r="176" spans="15:15" ht="15.75" customHeight="1" x14ac:dyDescent="0.3">
      <c r="O176" s="9"/>
    </row>
    <row r="177" spans="15:15" ht="15.75" customHeight="1" x14ac:dyDescent="0.3">
      <c r="O177" s="9"/>
    </row>
    <row r="178" spans="15:15" ht="15.75" customHeight="1" x14ac:dyDescent="0.3">
      <c r="O178" s="9"/>
    </row>
    <row r="179" spans="15:15" ht="15.75" customHeight="1" x14ac:dyDescent="0.3">
      <c r="O179" s="9"/>
    </row>
    <row r="180" spans="15:15" ht="15.75" customHeight="1" x14ac:dyDescent="0.3">
      <c r="O180" s="9"/>
    </row>
    <row r="181" spans="15:15" ht="15.75" customHeight="1" x14ac:dyDescent="0.3">
      <c r="O181" s="9"/>
    </row>
    <row r="182" spans="15:15" ht="15.75" customHeight="1" x14ac:dyDescent="0.3">
      <c r="O182" s="9"/>
    </row>
    <row r="183" spans="15:15" ht="15.75" customHeight="1" x14ac:dyDescent="0.3">
      <c r="O183" s="9"/>
    </row>
    <row r="184" spans="15:15" ht="15.75" customHeight="1" x14ac:dyDescent="0.3">
      <c r="O184" s="9"/>
    </row>
    <row r="185" spans="15:15" ht="15.75" customHeight="1" x14ac:dyDescent="0.3">
      <c r="O185" s="9"/>
    </row>
    <row r="186" spans="15:15" ht="15.75" customHeight="1" x14ac:dyDescent="0.3">
      <c r="O186" s="9"/>
    </row>
    <row r="187" spans="15:15" ht="15.75" customHeight="1" x14ac:dyDescent="0.3">
      <c r="O187" s="9"/>
    </row>
    <row r="188" spans="15:15" ht="15.75" customHeight="1" x14ac:dyDescent="0.3">
      <c r="O188" s="9"/>
    </row>
    <row r="189" spans="15:15" ht="15.75" customHeight="1" x14ac:dyDescent="0.3">
      <c r="O189" s="9"/>
    </row>
    <row r="190" spans="15:15" ht="15.75" customHeight="1" x14ac:dyDescent="0.3">
      <c r="O190" s="9"/>
    </row>
    <row r="191" spans="15:15" ht="15.75" customHeight="1" x14ac:dyDescent="0.3">
      <c r="O191" s="9"/>
    </row>
    <row r="192" spans="15:15" ht="15.75" customHeight="1" x14ac:dyDescent="0.3">
      <c r="O192" s="9"/>
    </row>
    <row r="193" spans="15:15" ht="15.75" customHeight="1" x14ac:dyDescent="0.3">
      <c r="O193" s="9"/>
    </row>
    <row r="194" spans="15:15" ht="15.75" customHeight="1" x14ac:dyDescent="0.3">
      <c r="O194" s="9"/>
    </row>
    <row r="195" spans="15:15" ht="15.75" customHeight="1" x14ac:dyDescent="0.3">
      <c r="O195" s="9"/>
    </row>
    <row r="196" spans="15:15" ht="15.75" customHeight="1" x14ac:dyDescent="0.3">
      <c r="O196" s="9"/>
    </row>
    <row r="197" spans="15:15" ht="15.75" customHeight="1" x14ac:dyDescent="0.3">
      <c r="O197" s="9"/>
    </row>
    <row r="198" spans="15:15" ht="15.75" customHeight="1" x14ac:dyDescent="0.3">
      <c r="O198" s="9"/>
    </row>
    <row r="199" spans="15:15" ht="15.75" customHeight="1" x14ac:dyDescent="0.3">
      <c r="O199" s="9"/>
    </row>
    <row r="200" spans="15:15" ht="15.75" customHeight="1" x14ac:dyDescent="0.3">
      <c r="O200" s="9"/>
    </row>
    <row r="201" spans="15:15" ht="15.75" customHeight="1" x14ac:dyDescent="0.3">
      <c r="O201" s="9"/>
    </row>
    <row r="202" spans="15:15" ht="15.75" customHeight="1" x14ac:dyDescent="0.3">
      <c r="O202" s="9"/>
    </row>
    <row r="203" spans="15:15" ht="15.75" customHeight="1" x14ac:dyDescent="0.3">
      <c r="O203" s="9"/>
    </row>
    <row r="204" spans="15:15" ht="15.75" customHeight="1" x14ac:dyDescent="0.3">
      <c r="O204" s="9"/>
    </row>
    <row r="205" spans="15:15" ht="15.75" customHeight="1" x14ac:dyDescent="0.3">
      <c r="O205" s="9"/>
    </row>
    <row r="206" spans="15:15" ht="15.75" customHeight="1" x14ac:dyDescent="0.3">
      <c r="O206" s="9"/>
    </row>
    <row r="207" spans="15:15" ht="15.75" customHeight="1" x14ac:dyDescent="0.3">
      <c r="O207" s="9"/>
    </row>
    <row r="208" spans="15:15" ht="15.75" customHeight="1" x14ac:dyDescent="0.3">
      <c r="O208" s="9"/>
    </row>
    <row r="209" spans="15:15" ht="15.75" customHeight="1" x14ac:dyDescent="0.3">
      <c r="O209" s="9"/>
    </row>
    <row r="210" spans="15:15" ht="15.75" customHeight="1" x14ac:dyDescent="0.3">
      <c r="O210" s="9"/>
    </row>
    <row r="211" spans="15:15" ht="15.75" customHeight="1" x14ac:dyDescent="0.3">
      <c r="O211" s="9"/>
    </row>
    <row r="212" spans="15:15" ht="15.75" customHeight="1" x14ac:dyDescent="0.3">
      <c r="O212" s="9"/>
    </row>
    <row r="213" spans="15:15" ht="15.75" customHeight="1" x14ac:dyDescent="0.3">
      <c r="O213" s="9"/>
    </row>
    <row r="214" spans="15:15" ht="15.75" customHeight="1" x14ac:dyDescent="0.3">
      <c r="O214" s="9"/>
    </row>
    <row r="215" spans="15:15" ht="15.75" customHeight="1" x14ac:dyDescent="0.3">
      <c r="O215" s="9"/>
    </row>
    <row r="216" spans="15:15" ht="15.75" customHeight="1" x14ac:dyDescent="0.3">
      <c r="O216" s="9"/>
    </row>
    <row r="217" spans="15:15" ht="15.75" customHeight="1" x14ac:dyDescent="0.3">
      <c r="O217" s="9"/>
    </row>
    <row r="218" spans="15:15" ht="15.75" customHeight="1" x14ac:dyDescent="0.3">
      <c r="O218" s="9"/>
    </row>
    <row r="219" spans="15:15" ht="15.75" customHeight="1" x14ac:dyDescent="0.3">
      <c r="O219" s="9"/>
    </row>
    <row r="220" spans="15:15" ht="15.75" customHeight="1" x14ac:dyDescent="0.3">
      <c r="O220" s="9"/>
    </row>
    <row r="221" spans="15:15" ht="15.75" customHeight="1" x14ac:dyDescent="0.3">
      <c r="O221" s="9"/>
    </row>
    <row r="222" spans="15:15" ht="15.75" customHeight="1" x14ac:dyDescent="0.3">
      <c r="O222" s="9"/>
    </row>
    <row r="223" spans="15:15" ht="15.75" customHeight="1" x14ac:dyDescent="0.3">
      <c r="O223" s="9"/>
    </row>
    <row r="224" spans="15:15" ht="15.75" customHeight="1" x14ac:dyDescent="0.3">
      <c r="O224" s="9"/>
    </row>
    <row r="225" spans="15:15" ht="15.75" customHeight="1" x14ac:dyDescent="0.3">
      <c r="O225" s="9"/>
    </row>
    <row r="226" spans="15:15" ht="15.75" customHeight="1" x14ac:dyDescent="0.3">
      <c r="O226" s="9"/>
    </row>
    <row r="227" spans="15:15" ht="15.75" customHeight="1" x14ac:dyDescent="0.3">
      <c r="O227" s="9"/>
    </row>
    <row r="228" spans="15:15" ht="15.75" customHeight="1" x14ac:dyDescent="0.3">
      <c r="O228" s="9"/>
    </row>
    <row r="229" spans="15:15" ht="15.75" customHeight="1" x14ac:dyDescent="0.3">
      <c r="O229" s="9"/>
    </row>
    <row r="230" spans="15:15" ht="15.75" customHeight="1" x14ac:dyDescent="0.3">
      <c r="O230" s="9"/>
    </row>
    <row r="231" spans="15:15" ht="15.75" customHeight="1" x14ac:dyDescent="0.3">
      <c r="O231" s="9"/>
    </row>
    <row r="232" spans="15:15" ht="15.75" customHeight="1" x14ac:dyDescent="0.3">
      <c r="O232" s="9"/>
    </row>
    <row r="233" spans="15:15" ht="15.75" customHeight="1" x14ac:dyDescent="0.3">
      <c r="O233" s="9"/>
    </row>
    <row r="234" spans="15:15" ht="15.75" customHeight="1" x14ac:dyDescent="0.3">
      <c r="O234" s="9"/>
    </row>
    <row r="235" spans="15:15" ht="15.75" customHeight="1" x14ac:dyDescent="0.3">
      <c r="O235" s="9"/>
    </row>
    <row r="236" spans="15:15" ht="15.75" customHeight="1" x14ac:dyDescent="0.3">
      <c r="O236" s="9"/>
    </row>
    <row r="237" spans="15:15" ht="15.75" customHeight="1" x14ac:dyDescent="0.3">
      <c r="O237" s="9"/>
    </row>
    <row r="238" spans="15:15" ht="15.75" customHeight="1" x14ac:dyDescent="0.3">
      <c r="O238" s="9"/>
    </row>
    <row r="239" spans="15:15" ht="15.75" customHeight="1" x14ac:dyDescent="0.3">
      <c r="O239" s="9"/>
    </row>
    <row r="240" spans="15:15" ht="15.75" customHeight="1" x14ac:dyDescent="0.3">
      <c r="O240" s="9"/>
    </row>
    <row r="241" spans="15:15" ht="15.75" customHeight="1" x14ac:dyDescent="0.3">
      <c r="O241" s="9"/>
    </row>
    <row r="242" spans="15:15" ht="15.75" customHeight="1" x14ac:dyDescent="0.3">
      <c r="O242" s="9"/>
    </row>
    <row r="243" spans="15:15" ht="15.75" customHeight="1" x14ac:dyDescent="0.3">
      <c r="O243" s="9"/>
    </row>
    <row r="244" spans="15:15" ht="15.75" customHeight="1" x14ac:dyDescent="0.3">
      <c r="O244" s="9"/>
    </row>
    <row r="245" spans="15:15" ht="15.75" customHeight="1" x14ac:dyDescent="0.3">
      <c r="O245" s="9"/>
    </row>
    <row r="246" spans="15:15" ht="15.75" customHeight="1" x14ac:dyDescent="0.3">
      <c r="O246" s="9"/>
    </row>
    <row r="247" spans="15:15" ht="15.75" customHeight="1" x14ac:dyDescent="0.3">
      <c r="O247" s="9"/>
    </row>
    <row r="248" spans="15:15" ht="15.75" customHeight="1" x14ac:dyDescent="0.3">
      <c r="O248" s="9"/>
    </row>
    <row r="249" spans="15:15" ht="15.75" customHeight="1" x14ac:dyDescent="0.3">
      <c r="O249" s="9"/>
    </row>
    <row r="250" spans="15:15" ht="15.75" customHeight="1" x14ac:dyDescent="0.3">
      <c r="O250" s="9"/>
    </row>
    <row r="251" spans="15:15" ht="15.75" customHeight="1" x14ac:dyDescent="0.3">
      <c r="O251" s="9"/>
    </row>
    <row r="252" spans="15:15" ht="15.75" customHeight="1" x14ac:dyDescent="0.3">
      <c r="O252" s="9"/>
    </row>
    <row r="253" spans="15:15" ht="15.75" customHeight="1" x14ac:dyDescent="0.3">
      <c r="O253" s="9"/>
    </row>
    <row r="254" spans="15:15" ht="15.75" customHeight="1" x14ac:dyDescent="0.3">
      <c r="O254" s="9"/>
    </row>
    <row r="255" spans="15:15" ht="15.75" customHeight="1" x14ac:dyDescent="0.3">
      <c r="O255" s="9"/>
    </row>
    <row r="256" spans="15:15" ht="15.75" customHeight="1" x14ac:dyDescent="0.3">
      <c r="O256" s="9"/>
    </row>
    <row r="257" spans="15:15" ht="15.75" customHeight="1" x14ac:dyDescent="0.3">
      <c r="O257" s="9"/>
    </row>
    <row r="258" spans="15:15" ht="15.75" customHeight="1" x14ac:dyDescent="0.3">
      <c r="O258" s="9"/>
    </row>
    <row r="259" spans="15:15" ht="15.75" customHeight="1" x14ac:dyDescent="0.3">
      <c r="O259" s="9"/>
    </row>
    <row r="260" spans="15:15" ht="15.75" customHeight="1" x14ac:dyDescent="0.3">
      <c r="O260" s="9"/>
    </row>
    <row r="261" spans="15:15" ht="15.75" customHeight="1" x14ac:dyDescent="0.3">
      <c r="O261" s="9"/>
    </row>
    <row r="262" spans="15:15" ht="15.75" customHeight="1" x14ac:dyDescent="0.3">
      <c r="O262" s="9"/>
    </row>
    <row r="263" spans="15:15" ht="15.75" customHeight="1" x14ac:dyDescent="0.3">
      <c r="O263" s="9"/>
    </row>
    <row r="264" spans="15:15" ht="15.75" customHeight="1" x14ac:dyDescent="0.3">
      <c r="O264" s="9"/>
    </row>
    <row r="265" spans="15:15" ht="15.75" customHeight="1" x14ac:dyDescent="0.3">
      <c r="O265" s="9"/>
    </row>
    <row r="266" spans="15:15" ht="15.75" customHeight="1" x14ac:dyDescent="0.3">
      <c r="O266" s="9"/>
    </row>
    <row r="267" spans="15:15" ht="15.75" customHeight="1" x14ac:dyDescent="0.3">
      <c r="O267" s="9"/>
    </row>
    <row r="268" spans="15:15" ht="15.75" customHeight="1" x14ac:dyDescent="0.3">
      <c r="O268" s="9"/>
    </row>
    <row r="269" spans="15:15" ht="15.75" customHeight="1" x14ac:dyDescent="0.3">
      <c r="O269" s="9"/>
    </row>
    <row r="270" spans="15:15" ht="15.75" customHeight="1" x14ac:dyDescent="0.3">
      <c r="O270" s="9"/>
    </row>
    <row r="271" spans="15:15" ht="15.75" customHeight="1" x14ac:dyDescent="0.3">
      <c r="O271" s="9"/>
    </row>
    <row r="272" spans="15:15" ht="15.75" customHeight="1" x14ac:dyDescent="0.3">
      <c r="O272" s="9"/>
    </row>
    <row r="273" spans="15:15" ht="15.75" customHeight="1" x14ac:dyDescent="0.3">
      <c r="O273" s="9"/>
    </row>
    <row r="274" spans="15:15" ht="15.75" customHeight="1" x14ac:dyDescent="0.3">
      <c r="O274" s="9"/>
    </row>
    <row r="275" spans="15:15" ht="15.75" customHeight="1" x14ac:dyDescent="0.3">
      <c r="O275" s="9"/>
    </row>
    <row r="276" spans="15:15" ht="15.75" customHeight="1" x14ac:dyDescent="0.3">
      <c r="O276" s="9"/>
    </row>
    <row r="277" spans="15:15" ht="15.75" customHeight="1" x14ac:dyDescent="0.3">
      <c r="O277" s="9"/>
    </row>
    <row r="278" spans="15:15" ht="15.75" customHeight="1" x14ac:dyDescent="0.3">
      <c r="O278" s="9"/>
    </row>
    <row r="279" spans="15:15" ht="15.75" customHeight="1" x14ac:dyDescent="0.3">
      <c r="O279" s="9"/>
    </row>
    <row r="280" spans="15:15" ht="15.75" customHeight="1" x14ac:dyDescent="0.3">
      <c r="O280" s="9"/>
    </row>
    <row r="281" spans="15:15" ht="15.75" customHeight="1" x14ac:dyDescent="0.3">
      <c r="O281" s="9"/>
    </row>
    <row r="282" spans="15:15" ht="15.75" customHeight="1" x14ac:dyDescent="0.3">
      <c r="O282" s="9"/>
    </row>
    <row r="283" spans="15:15" ht="15.75" customHeight="1" x14ac:dyDescent="0.3">
      <c r="O283" s="9"/>
    </row>
    <row r="284" spans="15:15" ht="15.75" customHeight="1" x14ac:dyDescent="0.3">
      <c r="O284" s="9"/>
    </row>
    <row r="285" spans="15:15" ht="15.75" customHeight="1" x14ac:dyDescent="0.3">
      <c r="O285" s="9"/>
    </row>
    <row r="286" spans="15:15" ht="15.75" customHeight="1" x14ac:dyDescent="0.3">
      <c r="O286" s="9"/>
    </row>
    <row r="287" spans="15:15" ht="15.75" customHeight="1" x14ac:dyDescent="0.3">
      <c r="O287" s="9"/>
    </row>
    <row r="288" spans="15:15" ht="15.75" customHeight="1" x14ac:dyDescent="0.3">
      <c r="O288" s="9"/>
    </row>
    <row r="289" spans="15:15" ht="15.75" customHeight="1" x14ac:dyDescent="0.3">
      <c r="O289" s="9"/>
    </row>
    <row r="290" spans="15:15" ht="15.75" customHeight="1" x14ac:dyDescent="0.3">
      <c r="O290" s="9"/>
    </row>
    <row r="291" spans="15:15" ht="15.75" customHeight="1" x14ac:dyDescent="0.3">
      <c r="O291" s="9"/>
    </row>
    <row r="292" spans="15:15" ht="15.75" customHeight="1" x14ac:dyDescent="0.3">
      <c r="O292" s="9"/>
    </row>
    <row r="293" spans="15:15" ht="15.75" customHeight="1" x14ac:dyDescent="0.3">
      <c r="O293" s="9"/>
    </row>
    <row r="294" spans="15:15" ht="15.75" customHeight="1" x14ac:dyDescent="0.3">
      <c r="O294" s="9"/>
    </row>
    <row r="295" spans="15:15" ht="15.75" customHeight="1" x14ac:dyDescent="0.3">
      <c r="O295" s="9"/>
    </row>
    <row r="296" spans="15:15" ht="15.75" customHeight="1" x14ac:dyDescent="0.3">
      <c r="O296" s="9"/>
    </row>
    <row r="297" spans="15:15" ht="15.75" customHeight="1" x14ac:dyDescent="0.3">
      <c r="O297" s="9"/>
    </row>
    <row r="298" spans="15:15" ht="15.75" customHeight="1" x14ac:dyDescent="0.3">
      <c r="O298" s="9"/>
    </row>
    <row r="299" spans="15:15" ht="15.75" customHeight="1" x14ac:dyDescent="0.3">
      <c r="O299" s="9"/>
    </row>
    <row r="300" spans="15:15" ht="15.75" customHeight="1" x14ac:dyDescent="0.3">
      <c r="O300" s="9"/>
    </row>
    <row r="301" spans="15:15" ht="15.75" customHeight="1" x14ac:dyDescent="0.3">
      <c r="O301" s="9"/>
    </row>
    <row r="302" spans="15:15" ht="15.75" customHeight="1" x14ac:dyDescent="0.3">
      <c r="O302" s="9"/>
    </row>
    <row r="303" spans="15:15" ht="15.75" customHeight="1" x14ac:dyDescent="0.3">
      <c r="O303" s="9"/>
    </row>
    <row r="304" spans="15:15" ht="15.75" customHeight="1" x14ac:dyDescent="0.3">
      <c r="O304" s="9"/>
    </row>
    <row r="305" spans="15:15" ht="15.75" customHeight="1" x14ac:dyDescent="0.3">
      <c r="O305" s="9"/>
    </row>
    <row r="306" spans="15:15" ht="15.75" customHeight="1" x14ac:dyDescent="0.3">
      <c r="O306" s="9"/>
    </row>
    <row r="307" spans="15:15" ht="15.75" customHeight="1" x14ac:dyDescent="0.3">
      <c r="O307" s="9"/>
    </row>
    <row r="308" spans="15:15" ht="15.75" customHeight="1" x14ac:dyDescent="0.3">
      <c r="O308" s="9"/>
    </row>
    <row r="309" spans="15:15" ht="15.75" customHeight="1" x14ac:dyDescent="0.3">
      <c r="O309" s="9"/>
    </row>
    <row r="310" spans="15:15" ht="15.75" customHeight="1" x14ac:dyDescent="0.3">
      <c r="O310" s="9"/>
    </row>
    <row r="311" spans="15:15" ht="15.75" customHeight="1" x14ac:dyDescent="0.3">
      <c r="O311" s="9"/>
    </row>
    <row r="312" spans="15:15" ht="15.75" customHeight="1" x14ac:dyDescent="0.3">
      <c r="O312" s="9"/>
    </row>
    <row r="313" spans="15:15" ht="15.75" customHeight="1" x14ac:dyDescent="0.3">
      <c r="O313" s="9"/>
    </row>
    <row r="314" spans="15:15" ht="15.75" customHeight="1" x14ac:dyDescent="0.3">
      <c r="O314" s="9"/>
    </row>
    <row r="315" spans="15:15" ht="15.75" customHeight="1" x14ac:dyDescent="0.3">
      <c r="O315" s="9"/>
    </row>
    <row r="316" spans="15:15" ht="15.75" customHeight="1" x14ac:dyDescent="0.3">
      <c r="O316" s="9"/>
    </row>
    <row r="317" spans="15:15" ht="15.75" customHeight="1" x14ac:dyDescent="0.3">
      <c r="O317" s="9"/>
    </row>
    <row r="318" spans="15:15" ht="15.75" customHeight="1" x14ac:dyDescent="0.3">
      <c r="O318" s="9"/>
    </row>
    <row r="319" spans="15:15" ht="15.75" customHeight="1" x14ac:dyDescent="0.3">
      <c r="O319" s="9"/>
    </row>
    <row r="320" spans="15:15" ht="15.75" customHeight="1" x14ac:dyDescent="0.3">
      <c r="O320" s="9"/>
    </row>
    <row r="321" spans="15:15" ht="15.75" customHeight="1" x14ac:dyDescent="0.3">
      <c r="O321" s="9"/>
    </row>
    <row r="322" spans="15:15" ht="15.75" customHeight="1" x14ac:dyDescent="0.3">
      <c r="O322" s="9"/>
    </row>
    <row r="323" spans="15:15" ht="15.75" customHeight="1" x14ac:dyDescent="0.3">
      <c r="O323" s="9"/>
    </row>
    <row r="324" spans="15:15" ht="15.75" customHeight="1" x14ac:dyDescent="0.3">
      <c r="O324" s="9"/>
    </row>
    <row r="325" spans="15:15" ht="15.75" customHeight="1" x14ac:dyDescent="0.3">
      <c r="O325" s="9"/>
    </row>
    <row r="326" spans="15:15" ht="15.75" customHeight="1" x14ac:dyDescent="0.3">
      <c r="O326" s="9"/>
    </row>
    <row r="327" spans="15:15" ht="15.75" customHeight="1" x14ac:dyDescent="0.3">
      <c r="O327" s="9"/>
    </row>
    <row r="328" spans="15:15" ht="15.75" customHeight="1" x14ac:dyDescent="0.3">
      <c r="O328" s="9"/>
    </row>
    <row r="329" spans="15:15" ht="15.75" customHeight="1" x14ac:dyDescent="0.3">
      <c r="O329" s="9"/>
    </row>
    <row r="330" spans="15:15" ht="15.75" customHeight="1" x14ac:dyDescent="0.3">
      <c r="O330" s="9"/>
    </row>
    <row r="331" spans="15:15" ht="15.75" customHeight="1" x14ac:dyDescent="0.3">
      <c r="O331" s="9"/>
    </row>
    <row r="332" spans="15:15" ht="15.75" customHeight="1" x14ac:dyDescent="0.3">
      <c r="O332" s="9"/>
    </row>
    <row r="333" spans="15:15" ht="15.75" customHeight="1" x14ac:dyDescent="0.3">
      <c r="O333" s="9"/>
    </row>
    <row r="334" spans="15:15" ht="15.75" customHeight="1" x14ac:dyDescent="0.3">
      <c r="O334" s="9"/>
    </row>
    <row r="335" spans="15:15" ht="15.75" customHeight="1" x14ac:dyDescent="0.3">
      <c r="O335" s="9"/>
    </row>
    <row r="336" spans="15:15" ht="15.75" customHeight="1" x14ac:dyDescent="0.3">
      <c r="O336" s="9"/>
    </row>
    <row r="337" spans="15:15" ht="15.75" customHeight="1" x14ac:dyDescent="0.3">
      <c r="O337" s="9"/>
    </row>
    <row r="338" spans="15:15" ht="15.75" customHeight="1" x14ac:dyDescent="0.3">
      <c r="O338" s="9"/>
    </row>
    <row r="339" spans="15:15" ht="15.75" customHeight="1" x14ac:dyDescent="0.3">
      <c r="O339" s="9"/>
    </row>
    <row r="340" spans="15:15" ht="15.75" customHeight="1" x14ac:dyDescent="0.3">
      <c r="O340" s="9"/>
    </row>
    <row r="341" spans="15:15" ht="15.75" customHeight="1" x14ac:dyDescent="0.3">
      <c r="O341" s="9"/>
    </row>
    <row r="342" spans="15:15" ht="15.75" customHeight="1" x14ac:dyDescent="0.3">
      <c r="O342" s="9"/>
    </row>
    <row r="343" spans="15:15" ht="15.75" customHeight="1" x14ac:dyDescent="0.3">
      <c r="O343" s="9"/>
    </row>
    <row r="344" spans="15:15" ht="15.75" customHeight="1" x14ac:dyDescent="0.3">
      <c r="O344" s="9"/>
    </row>
    <row r="345" spans="15:15" ht="15.75" customHeight="1" x14ac:dyDescent="0.3">
      <c r="O345" s="9"/>
    </row>
    <row r="346" spans="15:15" ht="15.75" customHeight="1" x14ac:dyDescent="0.3">
      <c r="O346" s="9"/>
    </row>
    <row r="347" spans="15:15" ht="15.75" customHeight="1" x14ac:dyDescent="0.3">
      <c r="O347" s="9"/>
    </row>
    <row r="348" spans="15:15" ht="15.75" customHeight="1" x14ac:dyDescent="0.3">
      <c r="O348" s="9"/>
    </row>
    <row r="349" spans="15:15" ht="15.75" customHeight="1" x14ac:dyDescent="0.3">
      <c r="O349" s="9"/>
    </row>
    <row r="350" spans="15:15" ht="15.75" customHeight="1" x14ac:dyDescent="0.3">
      <c r="O350" s="9"/>
    </row>
    <row r="351" spans="15:15" ht="15.75" customHeight="1" x14ac:dyDescent="0.3">
      <c r="O351" s="9"/>
    </row>
    <row r="352" spans="15:15" ht="15.75" customHeight="1" x14ac:dyDescent="0.3">
      <c r="O352" s="9"/>
    </row>
    <row r="353" spans="15:15" ht="15.75" customHeight="1" x14ac:dyDescent="0.3">
      <c r="O353" s="9"/>
    </row>
    <row r="354" spans="15:15" ht="15.75" customHeight="1" x14ac:dyDescent="0.3">
      <c r="O354" s="9"/>
    </row>
    <row r="355" spans="15:15" ht="15.75" customHeight="1" x14ac:dyDescent="0.3">
      <c r="O355" s="9"/>
    </row>
    <row r="356" spans="15:15" ht="15.75" customHeight="1" x14ac:dyDescent="0.3">
      <c r="O356" s="9"/>
    </row>
    <row r="357" spans="15:15" ht="15.75" customHeight="1" x14ac:dyDescent="0.3">
      <c r="O357" s="9"/>
    </row>
    <row r="358" spans="15:15" ht="15.75" customHeight="1" x14ac:dyDescent="0.3">
      <c r="O358" s="9"/>
    </row>
    <row r="359" spans="15:15" ht="15.75" customHeight="1" x14ac:dyDescent="0.3">
      <c r="O359" s="9"/>
    </row>
    <row r="360" spans="15:15" ht="15.75" customHeight="1" x14ac:dyDescent="0.3">
      <c r="O360" s="9"/>
    </row>
    <row r="361" spans="15:15" ht="15.75" customHeight="1" x14ac:dyDescent="0.3">
      <c r="O361" s="9"/>
    </row>
    <row r="362" spans="15:15" ht="15.75" customHeight="1" x14ac:dyDescent="0.3">
      <c r="O362" s="9"/>
    </row>
    <row r="363" spans="15:15" ht="15.75" customHeight="1" x14ac:dyDescent="0.3">
      <c r="O363" s="9"/>
    </row>
    <row r="364" spans="15:15" ht="15.75" customHeight="1" x14ac:dyDescent="0.3">
      <c r="O364" s="9"/>
    </row>
    <row r="365" spans="15:15" ht="15.75" customHeight="1" x14ac:dyDescent="0.3">
      <c r="O365" s="9"/>
    </row>
    <row r="366" spans="15:15" ht="15.75" customHeight="1" x14ac:dyDescent="0.3">
      <c r="O366" s="9"/>
    </row>
    <row r="367" spans="15:15" ht="15.75" customHeight="1" x14ac:dyDescent="0.3">
      <c r="O367" s="9"/>
    </row>
    <row r="368" spans="15:15" ht="15.75" customHeight="1" x14ac:dyDescent="0.3">
      <c r="O368" s="9"/>
    </row>
    <row r="369" spans="15:15" ht="15.75" customHeight="1" x14ac:dyDescent="0.3">
      <c r="O369" s="9"/>
    </row>
    <row r="370" spans="15:15" ht="15.75" customHeight="1" x14ac:dyDescent="0.3">
      <c r="O370" s="9"/>
    </row>
    <row r="371" spans="15:15" ht="15.75" customHeight="1" x14ac:dyDescent="0.3">
      <c r="O371" s="9"/>
    </row>
    <row r="372" spans="15:15" ht="15.75" customHeight="1" x14ac:dyDescent="0.3">
      <c r="O372" s="9"/>
    </row>
    <row r="373" spans="15:15" ht="15.75" customHeight="1" x14ac:dyDescent="0.3">
      <c r="O373" s="9"/>
    </row>
    <row r="374" spans="15:15" ht="15.75" customHeight="1" x14ac:dyDescent="0.3">
      <c r="O374" s="9"/>
    </row>
    <row r="375" spans="15:15" ht="15.75" customHeight="1" x14ac:dyDescent="0.3">
      <c r="O375" s="9"/>
    </row>
    <row r="376" spans="15:15" ht="15.75" customHeight="1" x14ac:dyDescent="0.3">
      <c r="O376" s="9"/>
    </row>
    <row r="377" spans="15:15" ht="15.75" customHeight="1" x14ac:dyDescent="0.3">
      <c r="O377" s="9"/>
    </row>
    <row r="378" spans="15:15" ht="15.75" customHeight="1" x14ac:dyDescent="0.3">
      <c r="O378" s="9"/>
    </row>
    <row r="379" spans="15:15" ht="15.75" customHeight="1" x14ac:dyDescent="0.3">
      <c r="O379" s="9"/>
    </row>
    <row r="380" spans="15:15" ht="15.75" customHeight="1" x14ac:dyDescent="0.3">
      <c r="O380" s="9"/>
    </row>
    <row r="381" spans="15:15" ht="15.75" customHeight="1" x14ac:dyDescent="0.3">
      <c r="O381" s="9"/>
    </row>
    <row r="382" spans="15:15" ht="15.75" customHeight="1" x14ac:dyDescent="0.3">
      <c r="O382" s="9"/>
    </row>
    <row r="383" spans="15:15" ht="15.75" customHeight="1" x14ac:dyDescent="0.3">
      <c r="O383" s="9"/>
    </row>
    <row r="384" spans="15:15" ht="15.75" customHeight="1" x14ac:dyDescent="0.3">
      <c r="O384" s="9"/>
    </row>
    <row r="385" spans="15:15" ht="15.75" customHeight="1" x14ac:dyDescent="0.3">
      <c r="O385" s="9"/>
    </row>
    <row r="386" spans="15:15" ht="15.75" customHeight="1" x14ac:dyDescent="0.3">
      <c r="O386" s="9"/>
    </row>
    <row r="387" spans="15:15" ht="15.75" customHeight="1" x14ac:dyDescent="0.3">
      <c r="O387" s="9"/>
    </row>
    <row r="388" spans="15:15" ht="15.75" customHeight="1" x14ac:dyDescent="0.3">
      <c r="O388" s="9"/>
    </row>
    <row r="389" spans="15:15" ht="15.75" customHeight="1" x14ac:dyDescent="0.3">
      <c r="O389" s="9"/>
    </row>
    <row r="390" spans="15:15" ht="15.75" customHeight="1" x14ac:dyDescent="0.3">
      <c r="O390" s="9"/>
    </row>
    <row r="391" spans="15:15" ht="15.75" customHeight="1" x14ac:dyDescent="0.3">
      <c r="O391" s="9"/>
    </row>
    <row r="392" spans="15:15" ht="15.75" customHeight="1" x14ac:dyDescent="0.3">
      <c r="O392" s="9"/>
    </row>
    <row r="393" spans="15:15" ht="15.75" customHeight="1" x14ac:dyDescent="0.3">
      <c r="O393" s="9"/>
    </row>
    <row r="394" spans="15:15" ht="15.75" customHeight="1" x14ac:dyDescent="0.3">
      <c r="O394" s="9"/>
    </row>
    <row r="395" spans="15:15" ht="15.75" customHeight="1" x14ac:dyDescent="0.3">
      <c r="O395" s="9"/>
    </row>
    <row r="396" spans="15:15" ht="15.75" customHeight="1" x14ac:dyDescent="0.3">
      <c r="O396" s="9"/>
    </row>
    <row r="397" spans="15:15" ht="15.75" customHeight="1" x14ac:dyDescent="0.3">
      <c r="O397" s="9"/>
    </row>
    <row r="398" spans="15:15" ht="15.75" customHeight="1" x14ac:dyDescent="0.3">
      <c r="O398" s="9"/>
    </row>
    <row r="399" spans="15:15" ht="15.75" customHeight="1" x14ac:dyDescent="0.3">
      <c r="O399" s="9"/>
    </row>
    <row r="400" spans="15:15" ht="15.75" customHeight="1" x14ac:dyDescent="0.3">
      <c r="O400" s="9"/>
    </row>
    <row r="401" spans="15:15" ht="15.75" customHeight="1" x14ac:dyDescent="0.3">
      <c r="O401" s="9"/>
    </row>
    <row r="402" spans="15:15" ht="15.75" customHeight="1" x14ac:dyDescent="0.3">
      <c r="O402" s="9"/>
    </row>
    <row r="403" spans="15:15" ht="15.75" customHeight="1" x14ac:dyDescent="0.3">
      <c r="O403" s="9"/>
    </row>
    <row r="404" spans="15:15" ht="15.75" customHeight="1" x14ac:dyDescent="0.3">
      <c r="O404" s="9"/>
    </row>
    <row r="405" spans="15:15" ht="15.75" customHeight="1" x14ac:dyDescent="0.3">
      <c r="O405" s="9"/>
    </row>
    <row r="406" spans="15:15" ht="15.75" customHeight="1" x14ac:dyDescent="0.3">
      <c r="O406" s="9"/>
    </row>
    <row r="407" spans="15:15" ht="15.75" customHeight="1" x14ac:dyDescent="0.3">
      <c r="O407" s="9"/>
    </row>
    <row r="408" spans="15:15" ht="15.75" customHeight="1" x14ac:dyDescent="0.3">
      <c r="O408" s="9"/>
    </row>
    <row r="409" spans="15:15" ht="15.75" customHeight="1" x14ac:dyDescent="0.3">
      <c r="O409" s="9"/>
    </row>
    <row r="410" spans="15:15" ht="15.75" customHeight="1" x14ac:dyDescent="0.3">
      <c r="O410" s="9"/>
    </row>
    <row r="411" spans="15:15" ht="15.75" customHeight="1" x14ac:dyDescent="0.3">
      <c r="O411" s="9"/>
    </row>
    <row r="412" spans="15:15" ht="15.75" customHeight="1" x14ac:dyDescent="0.3">
      <c r="O412" s="9"/>
    </row>
    <row r="413" spans="15:15" ht="15.75" customHeight="1" x14ac:dyDescent="0.3">
      <c r="O413" s="9"/>
    </row>
    <row r="414" spans="15:15" ht="15.75" customHeight="1" x14ac:dyDescent="0.3">
      <c r="O414" s="9"/>
    </row>
    <row r="415" spans="15:15" ht="15.75" customHeight="1" x14ac:dyDescent="0.3">
      <c r="O415" s="9"/>
    </row>
    <row r="416" spans="15:15" ht="15.75" customHeight="1" x14ac:dyDescent="0.3">
      <c r="O416" s="9"/>
    </row>
    <row r="417" spans="15:15" ht="15.75" customHeight="1" x14ac:dyDescent="0.3">
      <c r="O417" s="9"/>
    </row>
    <row r="418" spans="15:15" ht="15.75" customHeight="1" x14ac:dyDescent="0.3">
      <c r="O418" s="9"/>
    </row>
    <row r="419" spans="15:15" ht="15.75" customHeight="1" x14ac:dyDescent="0.3">
      <c r="O419" s="9"/>
    </row>
    <row r="420" spans="15:15" ht="15.75" customHeight="1" x14ac:dyDescent="0.3">
      <c r="O420" s="9"/>
    </row>
    <row r="421" spans="15:15" ht="15.75" customHeight="1" x14ac:dyDescent="0.3">
      <c r="O421" s="9"/>
    </row>
    <row r="422" spans="15:15" ht="15.75" customHeight="1" x14ac:dyDescent="0.3">
      <c r="O422" s="9"/>
    </row>
    <row r="423" spans="15:15" ht="15.75" customHeight="1" x14ac:dyDescent="0.3">
      <c r="O423" s="9"/>
    </row>
    <row r="424" spans="15:15" ht="15.75" customHeight="1" x14ac:dyDescent="0.3">
      <c r="O424" s="9"/>
    </row>
    <row r="425" spans="15:15" ht="15.75" customHeight="1" x14ac:dyDescent="0.3">
      <c r="O425" s="9"/>
    </row>
    <row r="426" spans="15:15" ht="15.75" customHeight="1" x14ac:dyDescent="0.3">
      <c r="O426" s="9"/>
    </row>
    <row r="427" spans="15:15" ht="15.75" customHeight="1" x14ac:dyDescent="0.3">
      <c r="O427" s="9"/>
    </row>
    <row r="428" spans="15:15" ht="15.75" customHeight="1" x14ac:dyDescent="0.3">
      <c r="O428" s="9"/>
    </row>
    <row r="429" spans="15:15" ht="15.75" customHeight="1" x14ac:dyDescent="0.3">
      <c r="O429" s="9"/>
    </row>
    <row r="430" spans="15:15" ht="15.75" customHeight="1" x14ac:dyDescent="0.3">
      <c r="O430" s="9"/>
    </row>
    <row r="431" spans="15:15" ht="15.75" customHeight="1" x14ac:dyDescent="0.3">
      <c r="O431" s="9"/>
    </row>
    <row r="432" spans="15:15" ht="15.75" customHeight="1" x14ac:dyDescent="0.3">
      <c r="O432" s="9"/>
    </row>
    <row r="433" spans="15:15" ht="15.75" customHeight="1" x14ac:dyDescent="0.3">
      <c r="O433" s="9"/>
    </row>
    <row r="434" spans="15:15" ht="15.75" customHeight="1" x14ac:dyDescent="0.3">
      <c r="O434" s="9"/>
    </row>
    <row r="435" spans="15:15" ht="15.75" customHeight="1" x14ac:dyDescent="0.3">
      <c r="O435" s="9"/>
    </row>
    <row r="436" spans="15:15" ht="15.75" customHeight="1" x14ac:dyDescent="0.3">
      <c r="O436" s="9"/>
    </row>
    <row r="437" spans="15:15" ht="15.75" customHeight="1" x14ac:dyDescent="0.3">
      <c r="O437" s="9"/>
    </row>
    <row r="438" spans="15:15" ht="15.75" customHeight="1" x14ac:dyDescent="0.3">
      <c r="O438" s="9"/>
    </row>
    <row r="439" spans="15:15" ht="15.75" customHeight="1" x14ac:dyDescent="0.3">
      <c r="O439" s="9"/>
    </row>
    <row r="440" spans="15:15" ht="15.75" customHeight="1" x14ac:dyDescent="0.3">
      <c r="O440" s="9"/>
    </row>
    <row r="441" spans="15:15" ht="15.75" customHeight="1" x14ac:dyDescent="0.3">
      <c r="O441" s="9"/>
    </row>
    <row r="442" spans="15:15" ht="15.75" customHeight="1" x14ac:dyDescent="0.3">
      <c r="O442" s="9"/>
    </row>
    <row r="443" spans="15:15" ht="15.75" customHeight="1" x14ac:dyDescent="0.3">
      <c r="O443" s="9"/>
    </row>
    <row r="444" spans="15:15" ht="15.75" customHeight="1" x14ac:dyDescent="0.3">
      <c r="O444" s="9"/>
    </row>
    <row r="445" spans="15:15" ht="15.75" customHeight="1" x14ac:dyDescent="0.3">
      <c r="O445" s="9"/>
    </row>
    <row r="446" spans="15:15" ht="15.75" customHeight="1" x14ac:dyDescent="0.3">
      <c r="O446" s="9"/>
    </row>
    <row r="447" spans="15:15" ht="15.75" customHeight="1" x14ac:dyDescent="0.3">
      <c r="O447" s="9"/>
    </row>
    <row r="448" spans="15:15" ht="15.75" customHeight="1" x14ac:dyDescent="0.3">
      <c r="O448" s="9"/>
    </row>
    <row r="449" spans="15:15" ht="15.75" customHeight="1" x14ac:dyDescent="0.3">
      <c r="O449" s="9"/>
    </row>
    <row r="450" spans="15:15" ht="15.75" customHeight="1" x14ac:dyDescent="0.3">
      <c r="O450" s="9"/>
    </row>
    <row r="451" spans="15:15" ht="15.75" customHeight="1" x14ac:dyDescent="0.3">
      <c r="O451" s="9"/>
    </row>
    <row r="452" spans="15:15" ht="15.75" customHeight="1" x14ac:dyDescent="0.3">
      <c r="O452" s="9"/>
    </row>
    <row r="453" spans="15:15" ht="15.75" customHeight="1" x14ac:dyDescent="0.3">
      <c r="O453" s="9"/>
    </row>
    <row r="454" spans="15:15" ht="15.75" customHeight="1" x14ac:dyDescent="0.3">
      <c r="O454" s="9"/>
    </row>
    <row r="455" spans="15:15" ht="15.75" customHeight="1" x14ac:dyDescent="0.3">
      <c r="O455" s="9"/>
    </row>
    <row r="456" spans="15:15" ht="15.75" customHeight="1" x14ac:dyDescent="0.3">
      <c r="O456" s="9"/>
    </row>
    <row r="457" spans="15:15" ht="15.75" customHeight="1" x14ac:dyDescent="0.3">
      <c r="O457" s="9"/>
    </row>
    <row r="458" spans="15:15" ht="15.75" customHeight="1" x14ac:dyDescent="0.3">
      <c r="O458" s="9"/>
    </row>
    <row r="459" spans="15:15" ht="15.75" customHeight="1" x14ac:dyDescent="0.3">
      <c r="O459" s="9"/>
    </row>
    <row r="460" spans="15:15" ht="15.75" customHeight="1" x14ac:dyDescent="0.3">
      <c r="O460" s="9"/>
    </row>
    <row r="461" spans="15:15" ht="15.75" customHeight="1" x14ac:dyDescent="0.3">
      <c r="O461" s="9"/>
    </row>
    <row r="462" spans="15:15" ht="15.75" customHeight="1" x14ac:dyDescent="0.3">
      <c r="O462" s="9"/>
    </row>
    <row r="463" spans="15:15" ht="15.75" customHeight="1" x14ac:dyDescent="0.3">
      <c r="O463" s="9"/>
    </row>
    <row r="464" spans="15:15" ht="15.75" customHeight="1" x14ac:dyDescent="0.3">
      <c r="O464" s="9"/>
    </row>
    <row r="465" spans="15:15" ht="15.75" customHeight="1" x14ac:dyDescent="0.3">
      <c r="O465" s="9"/>
    </row>
    <row r="466" spans="15:15" ht="15.75" customHeight="1" x14ac:dyDescent="0.3">
      <c r="O466" s="9"/>
    </row>
    <row r="467" spans="15:15" ht="15.75" customHeight="1" x14ac:dyDescent="0.3">
      <c r="O467" s="9"/>
    </row>
    <row r="468" spans="15:15" ht="15.75" customHeight="1" x14ac:dyDescent="0.3">
      <c r="O468" s="9"/>
    </row>
    <row r="469" spans="15:15" ht="15.75" customHeight="1" x14ac:dyDescent="0.3">
      <c r="O469" s="9"/>
    </row>
    <row r="470" spans="15:15" ht="15.75" customHeight="1" x14ac:dyDescent="0.3">
      <c r="O470" s="9"/>
    </row>
    <row r="471" spans="15:15" ht="15.75" customHeight="1" x14ac:dyDescent="0.3">
      <c r="O471" s="9"/>
    </row>
    <row r="472" spans="15:15" ht="15.75" customHeight="1" x14ac:dyDescent="0.3">
      <c r="O472" s="9"/>
    </row>
    <row r="473" spans="15:15" ht="15.75" customHeight="1" x14ac:dyDescent="0.3">
      <c r="O473" s="9"/>
    </row>
    <row r="474" spans="15:15" ht="15.75" customHeight="1" x14ac:dyDescent="0.3">
      <c r="O474" s="9"/>
    </row>
    <row r="475" spans="15:15" ht="15.75" customHeight="1" x14ac:dyDescent="0.3">
      <c r="O475" s="9"/>
    </row>
    <row r="476" spans="15:15" ht="15.75" customHeight="1" x14ac:dyDescent="0.3">
      <c r="O476" s="9"/>
    </row>
    <row r="477" spans="15:15" ht="15.75" customHeight="1" x14ac:dyDescent="0.3">
      <c r="O477" s="9"/>
    </row>
    <row r="478" spans="15:15" ht="15.75" customHeight="1" x14ac:dyDescent="0.3">
      <c r="O478" s="9"/>
    </row>
    <row r="479" spans="15:15" ht="15.75" customHeight="1" x14ac:dyDescent="0.3">
      <c r="O479" s="9"/>
    </row>
    <row r="480" spans="15:15" ht="15.75" customHeight="1" x14ac:dyDescent="0.3">
      <c r="O480" s="9"/>
    </row>
    <row r="481" spans="15:15" ht="15.75" customHeight="1" x14ac:dyDescent="0.3">
      <c r="O481" s="9"/>
    </row>
    <row r="482" spans="15:15" ht="15.75" customHeight="1" x14ac:dyDescent="0.3">
      <c r="O482" s="9"/>
    </row>
    <row r="483" spans="15:15" ht="15.75" customHeight="1" x14ac:dyDescent="0.3">
      <c r="O483" s="9"/>
    </row>
    <row r="484" spans="15:15" ht="15.75" customHeight="1" x14ac:dyDescent="0.3">
      <c r="O484" s="9"/>
    </row>
    <row r="485" spans="15:15" ht="15.75" customHeight="1" x14ac:dyDescent="0.3">
      <c r="O485" s="9"/>
    </row>
    <row r="486" spans="15:15" ht="15.75" customHeight="1" x14ac:dyDescent="0.3">
      <c r="O486" s="9"/>
    </row>
    <row r="487" spans="15:15" ht="15.75" customHeight="1" x14ac:dyDescent="0.3">
      <c r="O487" s="9"/>
    </row>
    <row r="488" spans="15:15" ht="15.75" customHeight="1" x14ac:dyDescent="0.3">
      <c r="O488" s="9"/>
    </row>
    <row r="489" spans="15:15" ht="15.75" customHeight="1" x14ac:dyDescent="0.3">
      <c r="O489" s="9"/>
    </row>
    <row r="490" spans="15:15" ht="15.75" customHeight="1" x14ac:dyDescent="0.3">
      <c r="O490" s="9"/>
    </row>
    <row r="491" spans="15:15" ht="15.75" customHeight="1" x14ac:dyDescent="0.3">
      <c r="O491" s="9"/>
    </row>
    <row r="492" spans="15:15" ht="15.75" customHeight="1" x14ac:dyDescent="0.3">
      <c r="O492" s="9"/>
    </row>
    <row r="493" spans="15:15" ht="15.75" customHeight="1" x14ac:dyDescent="0.3">
      <c r="O493" s="9"/>
    </row>
    <row r="494" spans="15:15" ht="15.75" customHeight="1" x14ac:dyDescent="0.3">
      <c r="O494" s="9"/>
    </row>
    <row r="495" spans="15:15" ht="15.75" customHeight="1" x14ac:dyDescent="0.3">
      <c r="O495" s="9"/>
    </row>
    <row r="496" spans="15:15" ht="15.75" customHeight="1" x14ac:dyDescent="0.3">
      <c r="O496" s="9"/>
    </row>
    <row r="497" spans="15:15" ht="15.75" customHeight="1" x14ac:dyDescent="0.3">
      <c r="O497" s="9"/>
    </row>
    <row r="498" spans="15:15" ht="15.75" customHeight="1" x14ac:dyDescent="0.3">
      <c r="O498" s="9"/>
    </row>
    <row r="499" spans="15:15" ht="15.75" customHeight="1" x14ac:dyDescent="0.3">
      <c r="O499" s="9"/>
    </row>
    <row r="500" spans="15:15" ht="15.75" customHeight="1" x14ac:dyDescent="0.3">
      <c r="O500" s="9"/>
    </row>
    <row r="501" spans="15:15" ht="15.75" customHeight="1" x14ac:dyDescent="0.3">
      <c r="O501" s="9"/>
    </row>
    <row r="502" spans="15:15" ht="15.75" customHeight="1" x14ac:dyDescent="0.3">
      <c r="O502" s="9"/>
    </row>
    <row r="503" spans="15:15" ht="15.75" customHeight="1" x14ac:dyDescent="0.3">
      <c r="O503" s="9"/>
    </row>
    <row r="504" spans="15:15" ht="15.75" customHeight="1" x14ac:dyDescent="0.3">
      <c r="O504" s="9"/>
    </row>
    <row r="505" spans="15:15" ht="15.75" customHeight="1" x14ac:dyDescent="0.3">
      <c r="O505" s="9"/>
    </row>
    <row r="506" spans="15:15" ht="15.75" customHeight="1" x14ac:dyDescent="0.3">
      <c r="O506" s="9"/>
    </row>
    <row r="507" spans="15:15" ht="15.75" customHeight="1" x14ac:dyDescent="0.3">
      <c r="O507" s="9"/>
    </row>
    <row r="508" spans="15:15" ht="15.75" customHeight="1" x14ac:dyDescent="0.3">
      <c r="O508" s="9"/>
    </row>
    <row r="509" spans="15:15" ht="15.75" customHeight="1" x14ac:dyDescent="0.3">
      <c r="O509" s="9"/>
    </row>
    <row r="510" spans="15:15" ht="15.75" customHeight="1" x14ac:dyDescent="0.3">
      <c r="O510" s="9"/>
    </row>
    <row r="511" spans="15:15" ht="15.75" customHeight="1" x14ac:dyDescent="0.3">
      <c r="O511" s="9"/>
    </row>
    <row r="512" spans="15:15" ht="15.75" customHeight="1" x14ac:dyDescent="0.3">
      <c r="O512" s="9"/>
    </row>
    <row r="513" spans="15:15" ht="15.75" customHeight="1" x14ac:dyDescent="0.3">
      <c r="O513" s="9"/>
    </row>
    <row r="514" spans="15:15" ht="15.75" customHeight="1" x14ac:dyDescent="0.3">
      <c r="O514" s="9"/>
    </row>
    <row r="515" spans="15:15" ht="15.75" customHeight="1" x14ac:dyDescent="0.3">
      <c r="O515" s="9"/>
    </row>
    <row r="516" spans="15:15" ht="15.75" customHeight="1" x14ac:dyDescent="0.3">
      <c r="O516" s="9"/>
    </row>
    <row r="517" spans="15:15" ht="15.75" customHeight="1" x14ac:dyDescent="0.3">
      <c r="O517" s="9"/>
    </row>
    <row r="518" spans="15:15" ht="15.75" customHeight="1" x14ac:dyDescent="0.3">
      <c r="O518" s="9"/>
    </row>
    <row r="519" spans="15:15" ht="15.75" customHeight="1" x14ac:dyDescent="0.3">
      <c r="O519" s="9"/>
    </row>
    <row r="520" spans="15:15" ht="15.75" customHeight="1" x14ac:dyDescent="0.3">
      <c r="O520" s="9"/>
    </row>
    <row r="521" spans="15:15" ht="15.75" customHeight="1" x14ac:dyDescent="0.3">
      <c r="O521" s="9"/>
    </row>
    <row r="522" spans="15:15" ht="15.75" customHeight="1" x14ac:dyDescent="0.3">
      <c r="O522" s="9"/>
    </row>
    <row r="523" spans="15:15" ht="15.75" customHeight="1" x14ac:dyDescent="0.3">
      <c r="O523" s="9"/>
    </row>
    <row r="524" spans="15:15" ht="15.75" customHeight="1" x14ac:dyDescent="0.3">
      <c r="O524" s="9"/>
    </row>
    <row r="525" spans="15:15" ht="15.75" customHeight="1" x14ac:dyDescent="0.3">
      <c r="O525" s="9"/>
    </row>
    <row r="526" spans="15:15" ht="15.75" customHeight="1" x14ac:dyDescent="0.3">
      <c r="O526" s="9"/>
    </row>
    <row r="527" spans="15:15" ht="15.75" customHeight="1" x14ac:dyDescent="0.3">
      <c r="O527" s="9"/>
    </row>
    <row r="528" spans="15:15" ht="15.75" customHeight="1" x14ac:dyDescent="0.3">
      <c r="O528" s="9"/>
    </row>
    <row r="529" spans="15:15" ht="15.75" customHeight="1" x14ac:dyDescent="0.3">
      <c r="O529" s="9"/>
    </row>
    <row r="530" spans="15:15" ht="15.75" customHeight="1" x14ac:dyDescent="0.3">
      <c r="O530" s="9"/>
    </row>
    <row r="531" spans="15:15" ht="15.75" customHeight="1" x14ac:dyDescent="0.3">
      <c r="O531" s="9"/>
    </row>
    <row r="532" spans="15:15" ht="15.75" customHeight="1" x14ac:dyDescent="0.3">
      <c r="O532" s="9"/>
    </row>
    <row r="533" spans="15:15" ht="15.75" customHeight="1" x14ac:dyDescent="0.3">
      <c r="O533" s="9"/>
    </row>
    <row r="534" spans="15:15" ht="15.75" customHeight="1" x14ac:dyDescent="0.3">
      <c r="O534" s="9"/>
    </row>
    <row r="535" spans="15:15" ht="15.75" customHeight="1" x14ac:dyDescent="0.3">
      <c r="O535" s="9"/>
    </row>
    <row r="536" spans="15:15" ht="15.75" customHeight="1" x14ac:dyDescent="0.3">
      <c r="O536" s="9"/>
    </row>
    <row r="537" spans="15:15" ht="15.75" customHeight="1" x14ac:dyDescent="0.3">
      <c r="O537" s="9"/>
    </row>
    <row r="538" spans="15:15" ht="15.75" customHeight="1" x14ac:dyDescent="0.3">
      <c r="O538" s="9"/>
    </row>
    <row r="539" spans="15:15" ht="15.75" customHeight="1" x14ac:dyDescent="0.3">
      <c r="O539" s="9"/>
    </row>
    <row r="540" spans="15:15" ht="15.75" customHeight="1" x14ac:dyDescent="0.3">
      <c r="O540" s="9"/>
    </row>
    <row r="541" spans="15:15" ht="15.75" customHeight="1" x14ac:dyDescent="0.3">
      <c r="O541" s="9"/>
    </row>
    <row r="542" spans="15:15" ht="15.75" customHeight="1" x14ac:dyDescent="0.3">
      <c r="O542" s="9"/>
    </row>
    <row r="543" spans="15:15" ht="15.75" customHeight="1" x14ac:dyDescent="0.3">
      <c r="O543" s="9"/>
    </row>
    <row r="544" spans="15:15" ht="15.75" customHeight="1" x14ac:dyDescent="0.3">
      <c r="O544" s="9"/>
    </row>
    <row r="545" spans="15:15" ht="15.75" customHeight="1" x14ac:dyDescent="0.3">
      <c r="O545" s="9"/>
    </row>
    <row r="546" spans="15:15" ht="15.75" customHeight="1" x14ac:dyDescent="0.3">
      <c r="O546" s="9"/>
    </row>
    <row r="547" spans="15:15" ht="15.75" customHeight="1" x14ac:dyDescent="0.3">
      <c r="O547" s="9"/>
    </row>
    <row r="548" spans="15:15" ht="15.75" customHeight="1" x14ac:dyDescent="0.3">
      <c r="O548" s="9"/>
    </row>
    <row r="549" spans="15:15" ht="15.75" customHeight="1" x14ac:dyDescent="0.3">
      <c r="O549" s="9"/>
    </row>
    <row r="550" spans="15:15" ht="15.75" customHeight="1" x14ac:dyDescent="0.3">
      <c r="O550" s="9"/>
    </row>
    <row r="551" spans="15:15" ht="15.75" customHeight="1" x14ac:dyDescent="0.3">
      <c r="O551" s="9"/>
    </row>
    <row r="552" spans="15:15" ht="15.75" customHeight="1" x14ac:dyDescent="0.3">
      <c r="O552" s="9"/>
    </row>
    <row r="553" spans="15:15" ht="15.75" customHeight="1" x14ac:dyDescent="0.3">
      <c r="O553" s="9"/>
    </row>
    <row r="554" spans="15:15" ht="15.75" customHeight="1" x14ac:dyDescent="0.3">
      <c r="O554" s="9"/>
    </row>
    <row r="555" spans="15:15" ht="15.75" customHeight="1" x14ac:dyDescent="0.3">
      <c r="O555" s="9"/>
    </row>
    <row r="556" spans="15:15" ht="15.75" customHeight="1" x14ac:dyDescent="0.3">
      <c r="O556" s="9"/>
    </row>
    <row r="557" spans="15:15" ht="15.75" customHeight="1" x14ac:dyDescent="0.3">
      <c r="O557" s="9"/>
    </row>
    <row r="558" spans="15:15" ht="15.75" customHeight="1" x14ac:dyDescent="0.3">
      <c r="O558" s="9"/>
    </row>
    <row r="559" spans="15:15" ht="15.75" customHeight="1" x14ac:dyDescent="0.3">
      <c r="O559" s="9"/>
    </row>
    <row r="560" spans="15:15" ht="15.75" customHeight="1" x14ac:dyDescent="0.3">
      <c r="O560" s="9"/>
    </row>
    <row r="561" spans="15:15" ht="15.75" customHeight="1" x14ac:dyDescent="0.3">
      <c r="O561" s="9"/>
    </row>
    <row r="562" spans="15:15" ht="15.75" customHeight="1" x14ac:dyDescent="0.3">
      <c r="O562" s="9"/>
    </row>
    <row r="563" spans="15:15" ht="15.75" customHeight="1" x14ac:dyDescent="0.3">
      <c r="O563" s="9"/>
    </row>
    <row r="564" spans="15:15" ht="15.75" customHeight="1" x14ac:dyDescent="0.3">
      <c r="O564" s="9"/>
    </row>
    <row r="565" spans="15:15" ht="15.75" customHeight="1" x14ac:dyDescent="0.3">
      <c r="O565" s="9"/>
    </row>
    <row r="566" spans="15:15" ht="15.75" customHeight="1" x14ac:dyDescent="0.3">
      <c r="O566" s="9"/>
    </row>
    <row r="567" spans="15:15" ht="15.75" customHeight="1" x14ac:dyDescent="0.3">
      <c r="O567" s="9"/>
    </row>
    <row r="568" spans="15:15" ht="15.75" customHeight="1" x14ac:dyDescent="0.3">
      <c r="O568" s="9"/>
    </row>
    <row r="569" spans="15:15" ht="15.75" customHeight="1" x14ac:dyDescent="0.3">
      <c r="O569" s="9"/>
    </row>
    <row r="570" spans="15:15" ht="15.75" customHeight="1" x14ac:dyDescent="0.3">
      <c r="O570" s="9"/>
    </row>
    <row r="571" spans="15:15" ht="15.75" customHeight="1" x14ac:dyDescent="0.3">
      <c r="O571" s="9"/>
    </row>
    <row r="572" spans="15:15" ht="15.75" customHeight="1" x14ac:dyDescent="0.3">
      <c r="O572" s="9"/>
    </row>
    <row r="573" spans="15:15" ht="15.75" customHeight="1" x14ac:dyDescent="0.3">
      <c r="O573" s="9"/>
    </row>
    <row r="574" spans="15:15" ht="15.75" customHeight="1" x14ac:dyDescent="0.3">
      <c r="O574" s="9"/>
    </row>
    <row r="575" spans="15:15" ht="15.75" customHeight="1" x14ac:dyDescent="0.3">
      <c r="O575" s="9"/>
    </row>
    <row r="576" spans="15:15" ht="15.75" customHeight="1" x14ac:dyDescent="0.3">
      <c r="O576" s="9"/>
    </row>
    <row r="577" spans="15:15" ht="15.75" customHeight="1" x14ac:dyDescent="0.3">
      <c r="O577" s="9"/>
    </row>
    <row r="578" spans="15:15" ht="15.75" customHeight="1" x14ac:dyDescent="0.3">
      <c r="O578" s="9"/>
    </row>
    <row r="579" spans="15:15" ht="15.75" customHeight="1" x14ac:dyDescent="0.3">
      <c r="O579" s="9"/>
    </row>
    <row r="580" spans="15:15" ht="15.75" customHeight="1" x14ac:dyDescent="0.3">
      <c r="O580" s="9"/>
    </row>
    <row r="581" spans="15:15" ht="15.75" customHeight="1" x14ac:dyDescent="0.3">
      <c r="O581" s="9"/>
    </row>
    <row r="582" spans="15:15" ht="15.75" customHeight="1" x14ac:dyDescent="0.3">
      <c r="O582" s="9"/>
    </row>
    <row r="583" spans="15:15" ht="15.75" customHeight="1" x14ac:dyDescent="0.3">
      <c r="O583" s="9"/>
    </row>
    <row r="584" spans="15:15" ht="15.75" customHeight="1" x14ac:dyDescent="0.3">
      <c r="O584" s="9"/>
    </row>
    <row r="585" spans="15:15" ht="15.75" customHeight="1" x14ac:dyDescent="0.3">
      <c r="O585" s="9"/>
    </row>
    <row r="586" spans="15:15" ht="15.75" customHeight="1" x14ac:dyDescent="0.3">
      <c r="O586" s="9"/>
    </row>
    <row r="587" spans="15:15" ht="15.75" customHeight="1" x14ac:dyDescent="0.3">
      <c r="O587" s="9"/>
    </row>
    <row r="588" spans="15:15" ht="15.75" customHeight="1" x14ac:dyDescent="0.3">
      <c r="O588" s="9"/>
    </row>
    <row r="589" spans="15:15" ht="15.75" customHeight="1" x14ac:dyDescent="0.3">
      <c r="O589" s="9"/>
    </row>
    <row r="590" spans="15:15" ht="15.75" customHeight="1" x14ac:dyDescent="0.3">
      <c r="O590" s="9"/>
    </row>
    <row r="591" spans="15:15" ht="15.75" customHeight="1" x14ac:dyDescent="0.3">
      <c r="O591" s="9"/>
    </row>
    <row r="592" spans="15:15" ht="15.75" customHeight="1" x14ac:dyDescent="0.3">
      <c r="O592" s="9"/>
    </row>
    <row r="593" spans="15:15" ht="15.75" customHeight="1" x14ac:dyDescent="0.3">
      <c r="O593" s="9"/>
    </row>
    <row r="594" spans="15:15" ht="15.75" customHeight="1" x14ac:dyDescent="0.3">
      <c r="O594" s="9"/>
    </row>
    <row r="595" spans="15:15" ht="15.75" customHeight="1" x14ac:dyDescent="0.3">
      <c r="O595" s="9"/>
    </row>
    <row r="596" spans="15:15" ht="15.75" customHeight="1" x14ac:dyDescent="0.3">
      <c r="O596" s="9"/>
    </row>
    <row r="597" spans="15:15" ht="15.75" customHeight="1" x14ac:dyDescent="0.3">
      <c r="O597" s="9"/>
    </row>
    <row r="598" spans="15:15" ht="15.75" customHeight="1" x14ac:dyDescent="0.3">
      <c r="O598" s="9"/>
    </row>
    <row r="599" spans="15:15" ht="15.75" customHeight="1" x14ac:dyDescent="0.3">
      <c r="O599" s="9"/>
    </row>
    <row r="600" spans="15:15" ht="15.75" customHeight="1" x14ac:dyDescent="0.3">
      <c r="O600" s="9"/>
    </row>
    <row r="601" spans="15:15" ht="15.75" customHeight="1" x14ac:dyDescent="0.3">
      <c r="O601" s="9"/>
    </row>
    <row r="602" spans="15:15" ht="15.75" customHeight="1" x14ac:dyDescent="0.3">
      <c r="O602" s="9"/>
    </row>
    <row r="603" spans="15:15" ht="15.75" customHeight="1" x14ac:dyDescent="0.3">
      <c r="O603" s="9"/>
    </row>
    <row r="604" spans="15:15" ht="15.75" customHeight="1" x14ac:dyDescent="0.3">
      <c r="O604" s="9"/>
    </row>
    <row r="605" spans="15:15" ht="15.75" customHeight="1" x14ac:dyDescent="0.3">
      <c r="O605" s="9"/>
    </row>
    <row r="606" spans="15:15" ht="15.75" customHeight="1" x14ac:dyDescent="0.3">
      <c r="O606" s="9"/>
    </row>
    <row r="607" spans="15:15" ht="15.75" customHeight="1" x14ac:dyDescent="0.3">
      <c r="O607" s="9"/>
    </row>
    <row r="608" spans="15:15" ht="15.75" customHeight="1" x14ac:dyDescent="0.3">
      <c r="O608" s="9"/>
    </row>
    <row r="609" spans="15:15" ht="15.75" customHeight="1" x14ac:dyDescent="0.3">
      <c r="O609" s="9"/>
    </row>
    <row r="610" spans="15:15" ht="15.75" customHeight="1" x14ac:dyDescent="0.3">
      <c r="O610" s="9"/>
    </row>
    <row r="611" spans="15:15" ht="15.75" customHeight="1" x14ac:dyDescent="0.3">
      <c r="O611" s="9"/>
    </row>
    <row r="612" spans="15:15" ht="15.75" customHeight="1" x14ac:dyDescent="0.3">
      <c r="O612" s="9"/>
    </row>
    <row r="613" spans="15:15" ht="15.75" customHeight="1" x14ac:dyDescent="0.3">
      <c r="O613" s="9"/>
    </row>
    <row r="614" spans="15:15" ht="15.75" customHeight="1" x14ac:dyDescent="0.3">
      <c r="O614" s="9"/>
    </row>
    <row r="615" spans="15:15" ht="15.75" customHeight="1" x14ac:dyDescent="0.3">
      <c r="O615" s="9"/>
    </row>
    <row r="616" spans="15:15" ht="15.75" customHeight="1" x14ac:dyDescent="0.3">
      <c r="O616" s="9"/>
    </row>
    <row r="617" spans="15:15" ht="15.75" customHeight="1" x14ac:dyDescent="0.3">
      <c r="O617" s="9"/>
    </row>
    <row r="618" spans="15:15" ht="15.75" customHeight="1" x14ac:dyDescent="0.3">
      <c r="O618" s="9"/>
    </row>
    <row r="619" spans="15:15" ht="15.75" customHeight="1" x14ac:dyDescent="0.3">
      <c r="O619" s="9"/>
    </row>
    <row r="620" spans="15:15" ht="15.75" customHeight="1" x14ac:dyDescent="0.3">
      <c r="O620" s="9"/>
    </row>
    <row r="621" spans="15:15" ht="15.75" customHeight="1" x14ac:dyDescent="0.3">
      <c r="O621" s="9"/>
    </row>
    <row r="622" spans="15:15" ht="15.75" customHeight="1" x14ac:dyDescent="0.3">
      <c r="O622" s="9"/>
    </row>
    <row r="623" spans="15:15" ht="15.75" customHeight="1" x14ac:dyDescent="0.3">
      <c r="O623" s="9"/>
    </row>
    <row r="624" spans="15:15" ht="15.75" customHeight="1" x14ac:dyDescent="0.3">
      <c r="O624" s="9"/>
    </row>
    <row r="625" spans="15:15" ht="15.75" customHeight="1" x14ac:dyDescent="0.3">
      <c r="O625" s="9"/>
    </row>
    <row r="626" spans="15:15" ht="15.75" customHeight="1" x14ac:dyDescent="0.3">
      <c r="O626" s="9"/>
    </row>
    <row r="627" spans="15:15" ht="15.75" customHeight="1" x14ac:dyDescent="0.3">
      <c r="O627" s="9"/>
    </row>
    <row r="628" spans="15:15" ht="15.75" customHeight="1" x14ac:dyDescent="0.3">
      <c r="O628" s="9"/>
    </row>
    <row r="629" spans="15:15" ht="15.75" customHeight="1" x14ac:dyDescent="0.3">
      <c r="O629" s="9"/>
    </row>
    <row r="630" spans="15:15" ht="15.75" customHeight="1" x14ac:dyDescent="0.3">
      <c r="O630" s="9"/>
    </row>
    <row r="631" spans="15:15" ht="15.75" customHeight="1" x14ac:dyDescent="0.3">
      <c r="O631" s="9"/>
    </row>
    <row r="632" spans="15:15" ht="15.75" customHeight="1" x14ac:dyDescent="0.3">
      <c r="O632" s="9"/>
    </row>
    <row r="633" spans="15:15" ht="15.75" customHeight="1" x14ac:dyDescent="0.3">
      <c r="O633" s="9"/>
    </row>
    <row r="634" spans="15:15" ht="15.75" customHeight="1" x14ac:dyDescent="0.3">
      <c r="O634" s="9"/>
    </row>
    <row r="635" spans="15:15" ht="15.75" customHeight="1" x14ac:dyDescent="0.3">
      <c r="O635" s="9"/>
    </row>
    <row r="636" spans="15:15" ht="15.75" customHeight="1" x14ac:dyDescent="0.3">
      <c r="O636" s="9"/>
    </row>
    <row r="637" spans="15:15" ht="15.75" customHeight="1" x14ac:dyDescent="0.3">
      <c r="O637" s="9"/>
    </row>
    <row r="638" spans="15:15" ht="15.75" customHeight="1" x14ac:dyDescent="0.3">
      <c r="O638" s="9"/>
    </row>
    <row r="639" spans="15:15" ht="15.75" customHeight="1" x14ac:dyDescent="0.3">
      <c r="O639" s="9"/>
    </row>
    <row r="640" spans="15:15" ht="15.75" customHeight="1" x14ac:dyDescent="0.3">
      <c r="O640" s="9"/>
    </row>
    <row r="641" spans="15:15" ht="15.75" customHeight="1" x14ac:dyDescent="0.3">
      <c r="O641" s="9"/>
    </row>
    <row r="642" spans="15:15" ht="15.75" customHeight="1" x14ac:dyDescent="0.3">
      <c r="O642" s="9"/>
    </row>
    <row r="643" spans="15:15" ht="15.75" customHeight="1" x14ac:dyDescent="0.3">
      <c r="O643" s="9"/>
    </row>
    <row r="644" spans="15:15" ht="15.75" customHeight="1" x14ac:dyDescent="0.3">
      <c r="O644" s="9"/>
    </row>
    <row r="645" spans="15:15" ht="15.75" customHeight="1" x14ac:dyDescent="0.3">
      <c r="O645" s="9"/>
    </row>
    <row r="646" spans="15:15" ht="15.75" customHeight="1" x14ac:dyDescent="0.3">
      <c r="O646" s="9"/>
    </row>
    <row r="647" spans="15:15" ht="15.75" customHeight="1" x14ac:dyDescent="0.3">
      <c r="O647" s="9"/>
    </row>
    <row r="648" spans="15:15" ht="15.75" customHeight="1" x14ac:dyDescent="0.3">
      <c r="O648" s="9"/>
    </row>
    <row r="649" spans="15:15" ht="15.75" customHeight="1" x14ac:dyDescent="0.3">
      <c r="O649" s="9"/>
    </row>
    <row r="650" spans="15:15" ht="15.75" customHeight="1" x14ac:dyDescent="0.3">
      <c r="O650" s="9"/>
    </row>
    <row r="651" spans="15:15" ht="15.75" customHeight="1" x14ac:dyDescent="0.3">
      <c r="O651" s="9"/>
    </row>
    <row r="652" spans="15:15" ht="15.75" customHeight="1" x14ac:dyDescent="0.3">
      <c r="O652" s="9"/>
    </row>
    <row r="653" spans="15:15" ht="15.75" customHeight="1" x14ac:dyDescent="0.3">
      <c r="O653" s="9"/>
    </row>
    <row r="654" spans="15:15" ht="15.75" customHeight="1" x14ac:dyDescent="0.3">
      <c r="O654" s="9"/>
    </row>
    <row r="655" spans="15:15" ht="15.75" customHeight="1" x14ac:dyDescent="0.3">
      <c r="O655" s="9"/>
    </row>
    <row r="656" spans="15:15" ht="15.75" customHeight="1" x14ac:dyDescent="0.3">
      <c r="O656" s="9"/>
    </row>
    <row r="657" spans="15:15" ht="15.75" customHeight="1" x14ac:dyDescent="0.3">
      <c r="O657" s="9"/>
    </row>
    <row r="658" spans="15:15" ht="15.75" customHeight="1" x14ac:dyDescent="0.3">
      <c r="O658" s="9"/>
    </row>
    <row r="659" spans="15:15" ht="15.75" customHeight="1" x14ac:dyDescent="0.3">
      <c r="O659" s="9"/>
    </row>
    <row r="660" spans="15:15" ht="15.75" customHeight="1" x14ac:dyDescent="0.3">
      <c r="O660" s="9"/>
    </row>
    <row r="661" spans="15:15" ht="15.75" customHeight="1" x14ac:dyDescent="0.3">
      <c r="O661" s="9"/>
    </row>
    <row r="662" spans="15:15" ht="15.75" customHeight="1" x14ac:dyDescent="0.3">
      <c r="O662" s="9"/>
    </row>
    <row r="663" spans="15:15" ht="15.75" customHeight="1" x14ac:dyDescent="0.3">
      <c r="O663" s="9"/>
    </row>
    <row r="664" spans="15:15" ht="15.75" customHeight="1" x14ac:dyDescent="0.3">
      <c r="O664" s="9"/>
    </row>
    <row r="665" spans="15:15" ht="15.75" customHeight="1" x14ac:dyDescent="0.3">
      <c r="O665" s="9"/>
    </row>
    <row r="666" spans="15:15" ht="15.75" customHeight="1" x14ac:dyDescent="0.3">
      <c r="O666" s="9"/>
    </row>
    <row r="667" spans="15:15" ht="15.75" customHeight="1" x14ac:dyDescent="0.3">
      <c r="O667" s="9"/>
    </row>
    <row r="668" spans="15:15" ht="15.75" customHeight="1" x14ac:dyDescent="0.3">
      <c r="O668" s="9"/>
    </row>
    <row r="669" spans="15:15" ht="15.75" customHeight="1" x14ac:dyDescent="0.3">
      <c r="O669" s="9"/>
    </row>
    <row r="670" spans="15:15" ht="15.75" customHeight="1" x14ac:dyDescent="0.3">
      <c r="O670" s="9"/>
    </row>
    <row r="671" spans="15:15" ht="15.75" customHeight="1" x14ac:dyDescent="0.3">
      <c r="O671" s="9"/>
    </row>
    <row r="672" spans="15:15" ht="15.75" customHeight="1" x14ac:dyDescent="0.3">
      <c r="O672" s="9"/>
    </row>
    <row r="673" spans="15:15" ht="15.75" customHeight="1" x14ac:dyDescent="0.3">
      <c r="O673" s="9"/>
    </row>
    <row r="674" spans="15:15" ht="15.75" customHeight="1" x14ac:dyDescent="0.3">
      <c r="O674" s="9"/>
    </row>
    <row r="675" spans="15:15" ht="15.75" customHeight="1" x14ac:dyDescent="0.3">
      <c r="O675" s="9"/>
    </row>
    <row r="676" spans="15:15" ht="15.75" customHeight="1" x14ac:dyDescent="0.3">
      <c r="O676" s="9"/>
    </row>
    <row r="677" spans="15:15" ht="15.75" customHeight="1" x14ac:dyDescent="0.3">
      <c r="O677" s="9"/>
    </row>
    <row r="678" spans="15:15" ht="15.75" customHeight="1" x14ac:dyDescent="0.3">
      <c r="O678" s="9"/>
    </row>
    <row r="679" spans="15:15" ht="15.75" customHeight="1" x14ac:dyDescent="0.3">
      <c r="O679" s="9"/>
    </row>
    <row r="680" spans="15:15" ht="15.75" customHeight="1" x14ac:dyDescent="0.3">
      <c r="O680" s="9"/>
    </row>
    <row r="681" spans="15:15" ht="15.75" customHeight="1" x14ac:dyDescent="0.3">
      <c r="O681" s="9"/>
    </row>
    <row r="682" spans="15:15" ht="15.75" customHeight="1" x14ac:dyDescent="0.3">
      <c r="O682" s="9"/>
    </row>
    <row r="683" spans="15:15" ht="15.75" customHeight="1" x14ac:dyDescent="0.3">
      <c r="O683" s="9"/>
    </row>
    <row r="684" spans="15:15" ht="15.75" customHeight="1" x14ac:dyDescent="0.3">
      <c r="O684" s="9"/>
    </row>
    <row r="685" spans="15:15" ht="15.75" customHeight="1" x14ac:dyDescent="0.3">
      <c r="O685" s="9"/>
    </row>
    <row r="686" spans="15:15" ht="15.75" customHeight="1" x14ac:dyDescent="0.3">
      <c r="O686" s="9"/>
    </row>
    <row r="687" spans="15:15" ht="15.75" customHeight="1" x14ac:dyDescent="0.3">
      <c r="O687" s="9"/>
    </row>
    <row r="688" spans="15:15" ht="15.75" customHeight="1" x14ac:dyDescent="0.3">
      <c r="O688" s="9"/>
    </row>
    <row r="689" spans="15:15" ht="15.75" customHeight="1" x14ac:dyDescent="0.3">
      <c r="O689" s="9"/>
    </row>
    <row r="690" spans="15:15" ht="15.75" customHeight="1" x14ac:dyDescent="0.3">
      <c r="O690" s="9"/>
    </row>
    <row r="691" spans="15:15" ht="15.75" customHeight="1" x14ac:dyDescent="0.3">
      <c r="O691" s="9"/>
    </row>
    <row r="692" spans="15:15" ht="15.75" customHeight="1" x14ac:dyDescent="0.3">
      <c r="O692" s="9"/>
    </row>
    <row r="693" spans="15:15" ht="15.75" customHeight="1" x14ac:dyDescent="0.3">
      <c r="O693" s="9"/>
    </row>
    <row r="694" spans="15:15" ht="15.75" customHeight="1" x14ac:dyDescent="0.3">
      <c r="O694" s="9"/>
    </row>
    <row r="695" spans="15:15" ht="15.75" customHeight="1" x14ac:dyDescent="0.3">
      <c r="O695" s="9"/>
    </row>
    <row r="696" spans="15:15" ht="15.75" customHeight="1" x14ac:dyDescent="0.3">
      <c r="O696" s="9"/>
    </row>
    <row r="697" spans="15:15" ht="15.75" customHeight="1" x14ac:dyDescent="0.3">
      <c r="O697" s="9"/>
    </row>
    <row r="698" spans="15:15" ht="15.75" customHeight="1" x14ac:dyDescent="0.3">
      <c r="O698" s="9"/>
    </row>
    <row r="699" spans="15:15" ht="15.75" customHeight="1" x14ac:dyDescent="0.3">
      <c r="O699" s="9"/>
    </row>
    <row r="700" spans="15:15" ht="15.75" customHeight="1" x14ac:dyDescent="0.3">
      <c r="O700" s="9"/>
    </row>
    <row r="701" spans="15:15" ht="15.75" customHeight="1" x14ac:dyDescent="0.3">
      <c r="O701" s="9"/>
    </row>
    <row r="702" spans="15:15" ht="15.75" customHeight="1" x14ac:dyDescent="0.3">
      <c r="O702" s="9"/>
    </row>
    <row r="703" spans="15:15" ht="15.75" customHeight="1" x14ac:dyDescent="0.3">
      <c r="O703" s="9"/>
    </row>
    <row r="704" spans="15:15" ht="15.75" customHeight="1" x14ac:dyDescent="0.3">
      <c r="O704" s="9"/>
    </row>
    <row r="705" spans="15:15" ht="15.75" customHeight="1" x14ac:dyDescent="0.3">
      <c r="O705" s="9"/>
    </row>
    <row r="706" spans="15:15" ht="15.75" customHeight="1" x14ac:dyDescent="0.3">
      <c r="O706" s="9"/>
    </row>
    <row r="707" spans="15:15" ht="15.75" customHeight="1" x14ac:dyDescent="0.3">
      <c r="O707" s="9"/>
    </row>
    <row r="708" spans="15:15" ht="15.75" customHeight="1" x14ac:dyDescent="0.3">
      <c r="O708" s="9"/>
    </row>
    <row r="709" spans="15:15" ht="15.75" customHeight="1" x14ac:dyDescent="0.3">
      <c r="O709" s="9"/>
    </row>
    <row r="710" spans="15:15" ht="15.75" customHeight="1" x14ac:dyDescent="0.3">
      <c r="O710" s="9"/>
    </row>
    <row r="711" spans="15:15" ht="15.75" customHeight="1" x14ac:dyDescent="0.3">
      <c r="O711" s="9"/>
    </row>
    <row r="712" spans="15:15" ht="15.75" customHeight="1" x14ac:dyDescent="0.3">
      <c r="O712" s="9"/>
    </row>
    <row r="713" spans="15:15" ht="15.75" customHeight="1" x14ac:dyDescent="0.3">
      <c r="O713" s="9"/>
    </row>
    <row r="714" spans="15:15" ht="15.75" customHeight="1" x14ac:dyDescent="0.3">
      <c r="O714" s="9"/>
    </row>
    <row r="715" spans="15:15" ht="15.75" customHeight="1" x14ac:dyDescent="0.3">
      <c r="O715" s="9"/>
    </row>
    <row r="716" spans="15:15" ht="15.75" customHeight="1" x14ac:dyDescent="0.3">
      <c r="O716" s="9"/>
    </row>
    <row r="717" spans="15:15" ht="15.75" customHeight="1" x14ac:dyDescent="0.3">
      <c r="O717" s="9"/>
    </row>
    <row r="718" spans="15:15" ht="15.75" customHeight="1" x14ac:dyDescent="0.3">
      <c r="O718" s="9"/>
    </row>
    <row r="719" spans="15:15" ht="15.75" customHeight="1" x14ac:dyDescent="0.3">
      <c r="O719" s="9"/>
    </row>
    <row r="720" spans="15:15" ht="15.75" customHeight="1" x14ac:dyDescent="0.3">
      <c r="O720" s="9"/>
    </row>
    <row r="721" spans="15:15" ht="15.75" customHeight="1" x14ac:dyDescent="0.3">
      <c r="O721" s="9"/>
    </row>
    <row r="722" spans="15:15" ht="15.75" customHeight="1" x14ac:dyDescent="0.3">
      <c r="O722" s="9"/>
    </row>
    <row r="723" spans="15:15" ht="15.75" customHeight="1" x14ac:dyDescent="0.3">
      <c r="O723" s="9"/>
    </row>
    <row r="724" spans="15:15" ht="15.75" customHeight="1" x14ac:dyDescent="0.3">
      <c r="O724" s="9"/>
    </row>
    <row r="725" spans="15:15" ht="15.75" customHeight="1" x14ac:dyDescent="0.3">
      <c r="O725" s="9"/>
    </row>
    <row r="726" spans="15:15" ht="15.75" customHeight="1" x14ac:dyDescent="0.3">
      <c r="O726" s="9"/>
    </row>
    <row r="727" spans="15:15" ht="15.75" customHeight="1" x14ac:dyDescent="0.3">
      <c r="O727" s="9"/>
    </row>
    <row r="728" spans="15:15" ht="15.75" customHeight="1" x14ac:dyDescent="0.3">
      <c r="O728" s="9"/>
    </row>
    <row r="729" spans="15:15" ht="15.75" customHeight="1" x14ac:dyDescent="0.3">
      <c r="O729" s="9"/>
    </row>
    <row r="730" spans="15:15" ht="15.75" customHeight="1" x14ac:dyDescent="0.3">
      <c r="O730" s="9"/>
    </row>
    <row r="731" spans="15:15" ht="15.75" customHeight="1" x14ac:dyDescent="0.3">
      <c r="O731" s="9"/>
    </row>
    <row r="732" spans="15:15" ht="15.75" customHeight="1" x14ac:dyDescent="0.3">
      <c r="O732" s="9"/>
    </row>
    <row r="733" spans="15:15" ht="15.75" customHeight="1" x14ac:dyDescent="0.3">
      <c r="O733" s="9"/>
    </row>
    <row r="734" spans="15:15" ht="15.75" customHeight="1" x14ac:dyDescent="0.3">
      <c r="O734" s="9"/>
    </row>
    <row r="735" spans="15:15" ht="15.75" customHeight="1" x14ac:dyDescent="0.3">
      <c r="O735" s="9"/>
    </row>
    <row r="736" spans="15:15" ht="15.75" customHeight="1" x14ac:dyDescent="0.3">
      <c r="O736" s="9"/>
    </row>
    <row r="737" spans="15:15" ht="15.75" customHeight="1" x14ac:dyDescent="0.3">
      <c r="O737" s="9"/>
    </row>
    <row r="738" spans="15:15" ht="15.75" customHeight="1" x14ac:dyDescent="0.3">
      <c r="O738" s="9"/>
    </row>
    <row r="739" spans="15:15" ht="15.75" customHeight="1" x14ac:dyDescent="0.3">
      <c r="O739" s="9"/>
    </row>
    <row r="740" spans="15:15" ht="15.75" customHeight="1" x14ac:dyDescent="0.3">
      <c r="O740" s="9"/>
    </row>
    <row r="741" spans="15:15" ht="15.75" customHeight="1" x14ac:dyDescent="0.3">
      <c r="O741" s="9"/>
    </row>
    <row r="742" spans="15:15" ht="15.75" customHeight="1" x14ac:dyDescent="0.3">
      <c r="O742" s="9"/>
    </row>
    <row r="743" spans="15:15" ht="15.75" customHeight="1" x14ac:dyDescent="0.3">
      <c r="O743" s="9"/>
    </row>
    <row r="744" spans="15:15" ht="15.75" customHeight="1" x14ac:dyDescent="0.3">
      <c r="O744" s="9"/>
    </row>
    <row r="745" spans="15:15" ht="15.75" customHeight="1" x14ac:dyDescent="0.3">
      <c r="O745" s="9"/>
    </row>
    <row r="746" spans="15:15" ht="15.75" customHeight="1" x14ac:dyDescent="0.3">
      <c r="O746" s="9"/>
    </row>
    <row r="747" spans="15:15" ht="15.75" customHeight="1" x14ac:dyDescent="0.3">
      <c r="O747" s="9"/>
    </row>
    <row r="748" spans="15:15" ht="15.75" customHeight="1" x14ac:dyDescent="0.3">
      <c r="O748" s="9"/>
    </row>
    <row r="749" spans="15:15" ht="15.75" customHeight="1" x14ac:dyDescent="0.3">
      <c r="O749" s="9"/>
    </row>
    <row r="750" spans="15:15" ht="15.75" customHeight="1" x14ac:dyDescent="0.3">
      <c r="O750" s="9"/>
    </row>
    <row r="751" spans="15:15" ht="15.75" customHeight="1" x14ac:dyDescent="0.3">
      <c r="O751" s="9"/>
    </row>
    <row r="752" spans="15:15" ht="15.75" customHeight="1" x14ac:dyDescent="0.3">
      <c r="O752" s="9"/>
    </row>
    <row r="753" spans="15:15" ht="15.75" customHeight="1" x14ac:dyDescent="0.3">
      <c r="O753" s="9"/>
    </row>
    <row r="754" spans="15:15" ht="15.75" customHeight="1" x14ac:dyDescent="0.3">
      <c r="O754" s="9"/>
    </row>
    <row r="755" spans="15:15" ht="15.75" customHeight="1" x14ac:dyDescent="0.3">
      <c r="O755" s="9"/>
    </row>
    <row r="756" spans="15:15" ht="15.75" customHeight="1" x14ac:dyDescent="0.3">
      <c r="O756" s="9"/>
    </row>
    <row r="757" spans="15:15" ht="15.75" customHeight="1" x14ac:dyDescent="0.3">
      <c r="O757" s="9"/>
    </row>
    <row r="758" spans="15:15" ht="15.75" customHeight="1" x14ac:dyDescent="0.3">
      <c r="O758" s="9"/>
    </row>
    <row r="759" spans="15:15" ht="15.75" customHeight="1" x14ac:dyDescent="0.3">
      <c r="O759" s="9"/>
    </row>
    <row r="760" spans="15:15" ht="15.75" customHeight="1" x14ac:dyDescent="0.3">
      <c r="O760" s="9"/>
    </row>
    <row r="761" spans="15:15" ht="15.75" customHeight="1" x14ac:dyDescent="0.3">
      <c r="O761" s="9"/>
    </row>
    <row r="762" spans="15:15" ht="15.75" customHeight="1" x14ac:dyDescent="0.3">
      <c r="O762" s="9"/>
    </row>
    <row r="763" spans="15:15" ht="15.75" customHeight="1" x14ac:dyDescent="0.3">
      <c r="O763" s="9"/>
    </row>
    <row r="764" spans="15:15" ht="15.75" customHeight="1" x14ac:dyDescent="0.3">
      <c r="O764" s="9"/>
    </row>
    <row r="765" spans="15:15" ht="15.75" customHeight="1" x14ac:dyDescent="0.3">
      <c r="O765" s="9"/>
    </row>
    <row r="766" spans="15:15" ht="15.75" customHeight="1" x14ac:dyDescent="0.3">
      <c r="O766" s="9"/>
    </row>
    <row r="767" spans="15:15" ht="15.75" customHeight="1" x14ac:dyDescent="0.3">
      <c r="O767" s="9"/>
    </row>
    <row r="768" spans="15:15" ht="15.75" customHeight="1" x14ac:dyDescent="0.3">
      <c r="O768" s="9"/>
    </row>
    <row r="769" spans="15:15" ht="15.75" customHeight="1" x14ac:dyDescent="0.3">
      <c r="O769" s="9"/>
    </row>
    <row r="770" spans="15:15" ht="15.75" customHeight="1" x14ac:dyDescent="0.3">
      <c r="O770" s="9"/>
    </row>
    <row r="771" spans="15:15" ht="15.75" customHeight="1" x14ac:dyDescent="0.3">
      <c r="O771" s="9"/>
    </row>
    <row r="772" spans="15:15" ht="15.75" customHeight="1" x14ac:dyDescent="0.3">
      <c r="O772" s="9"/>
    </row>
    <row r="773" spans="15:15" ht="15.75" customHeight="1" x14ac:dyDescent="0.3">
      <c r="O773" s="9"/>
    </row>
    <row r="774" spans="15:15" ht="15.75" customHeight="1" x14ac:dyDescent="0.3">
      <c r="O774" s="9"/>
    </row>
    <row r="775" spans="15:15" ht="15.75" customHeight="1" x14ac:dyDescent="0.3">
      <c r="O775" s="9"/>
    </row>
    <row r="776" spans="15:15" ht="15.75" customHeight="1" x14ac:dyDescent="0.3">
      <c r="O776" s="9"/>
    </row>
    <row r="777" spans="15:15" ht="15.75" customHeight="1" x14ac:dyDescent="0.3">
      <c r="O777" s="9"/>
    </row>
    <row r="778" spans="15:15" ht="15.75" customHeight="1" x14ac:dyDescent="0.3">
      <c r="O778" s="9"/>
    </row>
    <row r="779" spans="15:15" ht="15.75" customHeight="1" x14ac:dyDescent="0.3">
      <c r="O779" s="9"/>
    </row>
    <row r="780" spans="15:15" ht="15.75" customHeight="1" x14ac:dyDescent="0.3">
      <c r="O780" s="9"/>
    </row>
    <row r="781" spans="15:15" ht="15.75" customHeight="1" x14ac:dyDescent="0.3">
      <c r="O781" s="9"/>
    </row>
    <row r="782" spans="15:15" ht="15.75" customHeight="1" x14ac:dyDescent="0.3">
      <c r="O782" s="9"/>
    </row>
    <row r="783" spans="15:15" ht="15.75" customHeight="1" x14ac:dyDescent="0.3">
      <c r="O783" s="9"/>
    </row>
    <row r="784" spans="15:15" ht="15.75" customHeight="1" x14ac:dyDescent="0.3">
      <c r="O784" s="9"/>
    </row>
    <row r="785" spans="15:15" ht="15.75" customHeight="1" x14ac:dyDescent="0.3">
      <c r="O785" s="9"/>
    </row>
    <row r="786" spans="15:15" ht="15.75" customHeight="1" x14ac:dyDescent="0.3">
      <c r="O786" s="9"/>
    </row>
    <row r="787" spans="15:15" ht="15.75" customHeight="1" x14ac:dyDescent="0.3">
      <c r="O787" s="9"/>
    </row>
    <row r="788" spans="15:15" ht="15.75" customHeight="1" x14ac:dyDescent="0.3">
      <c r="O788" s="9"/>
    </row>
    <row r="789" spans="15:15" ht="15.75" customHeight="1" x14ac:dyDescent="0.3">
      <c r="O789" s="9"/>
    </row>
    <row r="790" spans="15:15" ht="15.75" customHeight="1" x14ac:dyDescent="0.3">
      <c r="O790" s="9"/>
    </row>
    <row r="791" spans="15:15" ht="15.75" customHeight="1" x14ac:dyDescent="0.3">
      <c r="O791" s="9"/>
    </row>
    <row r="792" spans="15:15" ht="15.75" customHeight="1" x14ac:dyDescent="0.3">
      <c r="O792" s="9"/>
    </row>
    <row r="793" spans="15:15" ht="15.75" customHeight="1" x14ac:dyDescent="0.3">
      <c r="O793" s="9"/>
    </row>
    <row r="794" spans="15:15" ht="15.75" customHeight="1" x14ac:dyDescent="0.3">
      <c r="O794" s="9"/>
    </row>
    <row r="795" spans="15:15" ht="15.75" customHeight="1" x14ac:dyDescent="0.3">
      <c r="O795" s="9"/>
    </row>
    <row r="796" spans="15:15" ht="15.75" customHeight="1" x14ac:dyDescent="0.3">
      <c r="O796" s="9"/>
    </row>
    <row r="797" spans="15:15" ht="15.75" customHeight="1" x14ac:dyDescent="0.3">
      <c r="O797" s="9"/>
    </row>
    <row r="798" spans="15:15" ht="15.75" customHeight="1" x14ac:dyDescent="0.3">
      <c r="O798" s="9"/>
    </row>
    <row r="799" spans="15:15" ht="15.75" customHeight="1" x14ac:dyDescent="0.3">
      <c r="O799" s="9"/>
    </row>
    <row r="800" spans="15:15" ht="15.75" customHeight="1" x14ac:dyDescent="0.3">
      <c r="O800" s="9"/>
    </row>
    <row r="801" spans="15:15" ht="15.75" customHeight="1" x14ac:dyDescent="0.3">
      <c r="O801" s="9"/>
    </row>
    <row r="802" spans="15:15" ht="15.75" customHeight="1" x14ac:dyDescent="0.3">
      <c r="O802" s="9"/>
    </row>
    <row r="803" spans="15:15" ht="15.75" customHeight="1" x14ac:dyDescent="0.3">
      <c r="O803" s="9"/>
    </row>
    <row r="804" spans="15:15" ht="15.75" customHeight="1" x14ac:dyDescent="0.3">
      <c r="O804" s="9"/>
    </row>
    <row r="805" spans="15:15" ht="15.75" customHeight="1" x14ac:dyDescent="0.3">
      <c r="O805" s="9"/>
    </row>
    <row r="806" spans="15:15" ht="15.75" customHeight="1" x14ac:dyDescent="0.3">
      <c r="O806" s="9"/>
    </row>
    <row r="807" spans="15:15" ht="15.75" customHeight="1" x14ac:dyDescent="0.3">
      <c r="O807" s="9"/>
    </row>
    <row r="808" spans="15:15" ht="15.75" customHeight="1" x14ac:dyDescent="0.3">
      <c r="O808" s="9"/>
    </row>
    <row r="809" spans="15:15" ht="15.75" customHeight="1" x14ac:dyDescent="0.3">
      <c r="O809" s="9"/>
    </row>
    <row r="810" spans="15:15" ht="15.75" customHeight="1" x14ac:dyDescent="0.3">
      <c r="O810" s="9"/>
    </row>
    <row r="811" spans="15:15" ht="15.75" customHeight="1" x14ac:dyDescent="0.3">
      <c r="O811" s="9"/>
    </row>
    <row r="812" spans="15:15" ht="15.75" customHeight="1" x14ac:dyDescent="0.3">
      <c r="O812" s="9"/>
    </row>
    <row r="813" spans="15:15" ht="15.75" customHeight="1" x14ac:dyDescent="0.3">
      <c r="O813" s="9"/>
    </row>
    <row r="814" spans="15:15" ht="15.75" customHeight="1" x14ac:dyDescent="0.3">
      <c r="O814" s="9"/>
    </row>
    <row r="815" spans="15:15" ht="15.75" customHeight="1" x14ac:dyDescent="0.3">
      <c r="O815" s="9"/>
    </row>
    <row r="816" spans="15:15" ht="15.75" customHeight="1" x14ac:dyDescent="0.3">
      <c r="O816" s="9"/>
    </row>
    <row r="817" spans="15:15" ht="15.75" customHeight="1" x14ac:dyDescent="0.3">
      <c r="O817" s="9"/>
    </row>
    <row r="818" spans="15:15" ht="15.75" customHeight="1" x14ac:dyDescent="0.3">
      <c r="O818" s="9"/>
    </row>
    <row r="819" spans="15:15" ht="15.75" customHeight="1" x14ac:dyDescent="0.3">
      <c r="O819" s="9"/>
    </row>
    <row r="820" spans="15:15" ht="15.75" customHeight="1" x14ac:dyDescent="0.3">
      <c r="O820" s="9"/>
    </row>
    <row r="821" spans="15:15" ht="15.75" customHeight="1" x14ac:dyDescent="0.3">
      <c r="O821" s="9"/>
    </row>
    <row r="822" spans="15:15" ht="15.75" customHeight="1" x14ac:dyDescent="0.3">
      <c r="O822" s="9"/>
    </row>
    <row r="823" spans="15:15" ht="15.75" customHeight="1" x14ac:dyDescent="0.3">
      <c r="O823" s="9"/>
    </row>
    <row r="824" spans="15:15" ht="15.75" customHeight="1" x14ac:dyDescent="0.3">
      <c r="O824" s="9"/>
    </row>
    <row r="825" spans="15:15" ht="15.75" customHeight="1" x14ac:dyDescent="0.3">
      <c r="O825" s="9"/>
    </row>
    <row r="826" spans="15:15" ht="15.75" customHeight="1" x14ac:dyDescent="0.3">
      <c r="O826" s="9"/>
    </row>
    <row r="827" spans="15:15" ht="15.75" customHeight="1" x14ac:dyDescent="0.3">
      <c r="O827" s="9"/>
    </row>
    <row r="828" spans="15:15" ht="15.75" customHeight="1" x14ac:dyDescent="0.3">
      <c r="O828" s="9"/>
    </row>
    <row r="829" spans="15:15" ht="15.75" customHeight="1" x14ac:dyDescent="0.3">
      <c r="O829" s="9"/>
    </row>
    <row r="830" spans="15:15" ht="15.75" customHeight="1" x14ac:dyDescent="0.3">
      <c r="O830" s="9"/>
    </row>
    <row r="831" spans="15:15" ht="15.75" customHeight="1" x14ac:dyDescent="0.3">
      <c r="O831" s="9"/>
    </row>
    <row r="832" spans="15:15" ht="15.75" customHeight="1" x14ac:dyDescent="0.3">
      <c r="O832" s="9"/>
    </row>
    <row r="833" spans="15:15" ht="15.75" customHeight="1" x14ac:dyDescent="0.3">
      <c r="O833" s="9"/>
    </row>
    <row r="834" spans="15:15" ht="15.75" customHeight="1" x14ac:dyDescent="0.3">
      <c r="O834" s="9"/>
    </row>
    <row r="835" spans="15:15" ht="15.75" customHeight="1" x14ac:dyDescent="0.3">
      <c r="O835" s="9"/>
    </row>
    <row r="836" spans="15:15" ht="15.75" customHeight="1" x14ac:dyDescent="0.3">
      <c r="O836" s="9"/>
    </row>
    <row r="837" spans="15:15" ht="15.75" customHeight="1" x14ac:dyDescent="0.3">
      <c r="O837" s="9"/>
    </row>
    <row r="838" spans="15:15" ht="15.75" customHeight="1" x14ac:dyDescent="0.3">
      <c r="O838" s="9"/>
    </row>
    <row r="839" spans="15:15" ht="15.75" customHeight="1" x14ac:dyDescent="0.3">
      <c r="O839" s="9"/>
    </row>
    <row r="840" spans="15:15" ht="15.75" customHeight="1" x14ac:dyDescent="0.3">
      <c r="O840" s="9"/>
    </row>
    <row r="841" spans="15:15" ht="15.75" customHeight="1" x14ac:dyDescent="0.3">
      <c r="O841" s="9"/>
    </row>
    <row r="842" spans="15:15" ht="15.75" customHeight="1" x14ac:dyDescent="0.3">
      <c r="O842" s="9"/>
    </row>
    <row r="843" spans="15:15" ht="15.75" customHeight="1" x14ac:dyDescent="0.3">
      <c r="O843" s="9"/>
    </row>
    <row r="844" spans="15:15" ht="15.75" customHeight="1" x14ac:dyDescent="0.3">
      <c r="O844" s="9"/>
    </row>
    <row r="845" spans="15:15" ht="15.75" customHeight="1" x14ac:dyDescent="0.3">
      <c r="O845" s="9"/>
    </row>
    <row r="846" spans="15:15" ht="15.75" customHeight="1" x14ac:dyDescent="0.3">
      <c r="O846" s="9"/>
    </row>
    <row r="847" spans="15:15" ht="15.75" customHeight="1" x14ac:dyDescent="0.3">
      <c r="O847" s="9"/>
    </row>
    <row r="848" spans="15:15" ht="15.75" customHeight="1" x14ac:dyDescent="0.3">
      <c r="O848" s="9"/>
    </row>
    <row r="849" spans="15:15" ht="15.75" customHeight="1" x14ac:dyDescent="0.3">
      <c r="O849" s="9"/>
    </row>
    <row r="850" spans="15:15" ht="15.75" customHeight="1" x14ac:dyDescent="0.3">
      <c r="O850" s="9"/>
    </row>
    <row r="851" spans="15:15" ht="15.75" customHeight="1" x14ac:dyDescent="0.3">
      <c r="O851" s="9"/>
    </row>
    <row r="852" spans="15:15" ht="15.75" customHeight="1" x14ac:dyDescent="0.3">
      <c r="O852" s="9"/>
    </row>
    <row r="853" spans="15:15" ht="15.75" customHeight="1" x14ac:dyDescent="0.3">
      <c r="O853" s="9"/>
    </row>
    <row r="854" spans="15:15" ht="15.75" customHeight="1" x14ac:dyDescent="0.3">
      <c r="O854" s="9"/>
    </row>
    <row r="855" spans="15:15" ht="15.75" customHeight="1" x14ac:dyDescent="0.3">
      <c r="O855" s="9"/>
    </row>
    <row r="856" spans="15:15" ht="15.75" customHeight="1" x14ac:dyDescent="0.3">
      <c r="O856" s="9"/>
    </row>
    <row r="857" spans="15:15" ht="15.75" customHeight="1" x14ac:dyDescent="0.3">
      <c r="O857" s="9"/>
    </row>
    <row r="858" spans="15:15" ht="15.75" customHeight="1" x14ac:dyDescent="0.3">
      <c r="O858" s="9"/>
    </row>
    <row r="859" spans="15:15" ht="15.75" customHeight="1" x14ac:dyDescent="0.3">
      <c r="O859" s="9"/>
    </row>
    <row r="860" spans="15:15" ht="15.75" customHeight="1" x14ac:dyDescent="0.3">
      <c r="O860" s="9"/>
    </row>
    <row r="861" spans="15:15" ht="15.75" customHeight="1" x14ac:dyDescent="0.3">
      <c r="O861" s="9"/>
    </row>
    <row r="862" spans="15:15" ht="15.75" customHeight="1" x14ac:dyDescent="0.3">
      <c r="O862" s="9"/>
    </row>
    <row r="863" spans="15:15" ht="15.75" customHeight="1" x14ac:dyDescent="0.3">
      <c r="O863" s="9"/>
    </row>
    <row r="864" spans="15:15" ht="15.75" customHeight="1" x14ac:dyDescent="0.3">
      <c r="O864" s="9"/>
    </row>
    <row r="865" spans="15:15" ht="15.75" customHeight="1" x14ac:dyDescent="0.3">
      <c r="O865" s="9"/>
    </row>
    <row r="866" spans="15:15" ht="15.75" customHeight="1" x14ac:dyDescent="0.3">
      <c r="O866" s="9"/>
    </row>
    <row r="867" spans="15:15" ht="15.75" customHeight="1" x14ac:dyDescent="0.3">
      <c r="O867" s="9"/>
    </row>
    <row r="868" spans="15:15" ht="15.75" customHeight="1" x14ac:dyDescent="0.3">
      <c r="O868" s="9"/>
    </row>
    <row r="869" spans="15:15" ht="15.75" customHeight="1" x14ac:dyDescent="0.3">
      <c r="O869" s="9"/>
    </row>
    <row r="870" spans="15:15" ht="15.75" customHeight="1" x14ac:dyDescent="0.3">
      <c r="O870" s="9"/>
    </row>
    <row r="871" spans="15:15" ht="15.75" customHeight="1" x14ac:dyDescent="0.3">
      <c r="O871" s="9"/>
    </row>
    <row r="872" spans="15:15" ht="15.75" customHeight="1" x14ac:dyDescent="0.3">
      <c r="O872" s="9"/>
    </row>
    <row r="873" spans="15:15" ht="15.75" customHeight="1" x14ac:dyDescent="0.3">
      <c r="O873" s="9"/>
    </row>
    <row r="874" spans="15:15" ht="15.75" customHeight="1" x14ac:dyDescent="0.3">
      <c r="O874" s="9"/>
    </row>
    <row r="875" spans="15:15" ht="15.75" customHeight="1" x14ac:dyDescent="0.3">
      <c r="O875" s="9"/>
    </row>
    <row r="876" spans="15:15" ht="15.75" customHeight="1" x14ac:dyDescent="0.3">
      <c r="O876" s="9"/>
    </row>
    <row r="877" spans="15:15" ht="15.75" customHeight="1" x14ac:dyDescent="0.3">
      <c r="O877" s="9"/>
    </row>
    <row r="878" spans="15:15" ht="15.75" customHeight="1" x14ac:dyDescent="0.3">
      <c r="O878" s="9"/>
    </row>
    <row r="879" spans="15:15" ht="15.75" customHeight="1" x14ac:dyDescent="0.3">
      <c r="O879" s="9"/>
    </row>
    <row r="880" spans="15:15" ht="15.75" customHeight="1" x14ac:dyDescent="0.3">
      <c r="O880" s="9"/>
    </row>
    <row r="881" spans="15:15" ht="15.75" customHeight="1" x14ac:dyDescent="0.3">
      <c r="O881" s="9"/>
    </row>
    <row r="882" spans="15:15" ht="15.75" customHeight="1" x14ac:dyDescent="0.3">
      <c r="O882" s="9"/>
    </row>
    <row r="883" spans="15:15" ht="15.75" customHeight="1" x14ac:dyDescent="0.3">
      <c r="O883" s="9"/>
    </row>
    <row r="884" spans="15:15" ht="15.75" customHeight="1" x14ac:dyDescent="0.3">
      <c r="O884" s="9"/>
    </row>
    <row r="885" spans="15:15" ht="15.75" customHeight="1" x14ac:dyDescent="0.3">
      <c r="O885" s="9"/>
    </row>
    <row r="886" spans="15:15" ht="15.75" customHeight="1" x14ac:dyDescent="0.3">
      <c r="O886" s="9"/>
    </row>
    <row r="887" spans="15:15" ht="15.75" customHeight="1" x14ac:dyDescent="0.3">
      <c r="O887" s="9"/>
    </row>
    <row r="888" spans="15:15" ht="15.75" customHeight="1" x14ac:dyDescent="0.3">
      <c r="O888" s="9"/>
    </row>
    <row r="889" spans="15:15" ht="15.75" customHeight="1" x14ac:dyDescent="0.3">
      <c r="O889" s="9"/>
    </row>
    <row r="890" spans="15:15" ht="15.75" customHeight="1" x14ac:dyDescent="0.3">
      <c r="O890" s="9"/>
    </row>
    <row r="891" spans="15:15" ht="15.75" customHeight="1" x14ac:dyDescent="0.3">
      <c r="O891" s="9"/>
    </row>
    <row r="892" spans="15:15" ht="15.75" customHeight="1" x14ac:dyDescent="0.3">
      <c r="O892" s="9"/>
    </row>
    <row r="893" spans="15:15" ht="15.75" customHeight="1" x14ac:dyDescent="0.3">
      <c r="O893" s="9"/>
    </row>
    <row r="894" spans="15:15" ht="15.75" customHeight="1" x14ac:dyDescent="0.3">
      <c r="O894" s="9"/>
    </row>
    <row r="895" spans="15:15" ht="15.75" customHeight="1" x14ac:dyDescent="0.3">
      <c r="O895" s="9"/>
    </row>
    <row r="896" spans="15:15" ht="15.75" customHeight="1" x14ac:dyDescent="0.3">
      <c r="O896" s="9"/>
    </row>
    <row r="897" spans="15:15" ht="15.75" customHeight="1" x14ac:dyDescent="0.3">
      <c r="O897" s="9"/>
    </row>
    <row r="898" spans="15:15" ht="15.75" customHeight="1" x14ac:dyDescent="0.3">
      <c r="O898" s="9"/>
    </row>
    <row r="899" spans="15:15" ht="15.75" customHeight="1" x14ac:dyDescent="0.3">
      <c r="O899" s="9"/>
    </row>
    <row r="900" spans="15:15" ht="15.75" customHeight="1" x14ac:dyDescent="0.3">
      <c r="O900" s="9"/>
    </row>
    <row r="901" spans="15:15" ht="15.75" customHeight="1" x14ac:dyDescent="0.3">
      <c r="O901" s="9"/>
    </row>
    <row r="902" spans="15:15" ht="15.75" customHeight="1" x14ac:dyDescent="0.3">
      <c r="O902" s="9"/>
    </row>
    <row r="903" spans="15:15" ht="15.75" customHeight="1" x14ac:dyDescent="0.3">
      <c r="O903" s="9"/>
    </row>
    <row r="904" spans="15:15" ht="15.75" customHeight="1" x14ac:dyDescent="0.3">
      <c r="O904" s="9"/>
    </row>
    <row r="905" spans="15:15" ht="15.75" customHeight="1" x14ac:dyDescent="0.3">
      <c r="O905" s="9"/>
    </row>
    <row r="906" spans="15:15" ht="15.75" customHeight="1" x14ac:dyDescent="0.3">
      <c r="O906" s="9"/>
    </row>
    <row r="907" spans="15:15" ht="15.75" customHeight="1" x14ac:dyDescent="0.3">
      <c r="O907" s="9"/>
    </row>
    <row r="908" spans="15:15" ht="15.75" customHeight="1" x14ac:dyDescent="0.3">
      <c r="O908" s="9"/>
    </row>
    <row r="909" spans="15:15" ht="15.75" customHeight="1" x14ac:dyDescent="0.3">
      <c r="O909" s="9"/>
    </row>
    <row r="910" spans="15:15" ht="15.75" customHeight="1" x14ac:dyDescent="0.3">
      <c r="O910" s="9"/>
    </row>
    <row r="911" spans="15:15" ht="15.75" customHeight="1" x14ac:dyDescent="0.3">
      <c r="O911" s="9"/>
    </row>
    <row r="912" spans="15:15" ht="15.75" customHeight="1" x14ac:dyDescent="0.3">
      <c r="O912" s="9"/>
    </row>
    <row r="913" spans="15:15" ht="15.75" customHeight="1" x14ac:dyDescent="0.3">
      <c r="O913" s="9"/>
    </row>
    <row r="914" spans="15:15" ht="15.75" customHeight="1" x14ac:dyDescent="0.3">
      <c r="O914" s="9"/>
    </row>
    <row r="915" spans="15:15" ht="15.75" customHeight="1" x14ac:dyDescent="0.3">
      <c r="O915" s="9"/>
    </row>
    <row r="916" spans="15:15" ht="15.75" customHeight="1" x14ac:dyDescent="0.3">
      <c r="O916" s="9"/>
    </row>
    <row r="917" spans="15:15" ht="15.75" customHeight="1" x14ac:dyDescent="0.3">
      <c r="O917" s="9"/>
    </row>
    <row r="918" spans="15:15" ht="15.75" customHeight="1" x14ac:dyDescent="0.3">
      <c r="O918" s="9"/>
    </row>
    <row r="919" spans="15:15" ht="15.75" customHeight="1" x14ac:dyDescent="0.3">
      <c r="O919" s="9"/>
    </row>
    <row r="920" spans="15:15" ht="15.75" customHeight="1" x14ac:dyDescent="0.3">
      <c r="O920" s="9"/>
    </row>
    <row r="921" spans="15:15" ht="15.75" customHeight="1" x14ac:dyDescent="0.3">
      <c r="O921" s="9"/>
    </row>
    <row r="922" spans="15:15" ht="15.75" customHeight="1" x14ac:dyDescent="0.3">
      <c r="O922" s="9"/>
    </row>
    <row r="923" spans="15:15" ht="15.75" customHeight="1" x14ac:dyDescent="0.3">
      <c r="O923" s="9"/>
    </row>
    <row r="924" spans="15:15" ht="15.75" customHeight="1" x14ac:dyDescent="0.3">
      <c r="O924" s="9"/>
    </row>
    <row r="925" spans="15:15" ht="15.75" customHeight="1" x14ac:dyDescent="0.3">
      <c r="O925" s="9"/>
    </row>
    <row r="926" spans="15:15" ht="15.75" customHeight="1" x14ac:dyDescent="0.3">
      <c r="O926" s="9"/>
    </row>
    <row r="927" spans="15:15" ht="15.75" customHeight="1" x14ac:dyDescent="0.3">
      <c r="O927" s="9"/>
    </row>
    <row r="928" spans="15:15" ht="15.75" customHeight="1" x14ac:dyDescent="0.3">
      <c r="O928" s="9"/>
    </row>
    <row r="929" spans="15:15" ht="15.75" customHeight="1" x14ac:dyDescent="0.3">
      <c r="O929" s="9"/>
    </row>
    <row r="930" spans="15:15" ht="15.75" customHeight="1" x14ac:dyDescent="0.3">
      <c r="O930" s="9"/>
    </row>
    <row r="931" spans="15:15" ht="15.75" customHeight="1" x14ac:dyDescent="0.3">
      <c r="O931" s="9"/>
    </row>
    <row r="932" spans="15:15" ht="15.75" customHeight="1" x14ac:dyDescent="0.3">
      <c r="O932" s="9"/>
    </row>
    <row r="933" spans="15:15" ht="15.75" customHeight="1" x14ac:dyDescent="0.3">
      <c r="O933" s="9"/>
    </row>
    <row r="934" spans="15:15" ht="15.75" customHeight="1" x14ac:dyDescent="0.3">
      <c r="O934" s="9"/>
    </row>
    <row r="935" spans="15:15" ht="15.75" customHeight="1" x14ac:dyDescent="0.3">
      <c r="O935" s="9"/>
    </row>
    <row r="936" spans="15:15" ht="15.75" customHeight="1" x14ac:dyDescent="0.3">
      <c r="O936" s="9"/>
    </row>
    <row r="937" spans="15:15" ht="15.75" customHeight="1" x14ac:dyDescent="0.3">
      <c r="O937" s="9"/>
    </row>
    <row r="938" spans="15:15" ht="15.75" customHeight="1" x14ac:dyDescent="0.3">
      <c r="O938" s="9"/>
    </row>
    <row r="939" spans="15:15" ht="15.75" customHeight="1" x14ac:dyDescent="0.3">
      <c r="O939" s="9"/>
    </row>
    <row r="940" spans="15:15" ht="15.75" customHeight="1" x14ac:dyDescent="0.3">
      <c r="O940" s="9"/>
    </row>
    <row r="941" spans="15:15" ht="15.75" customHeight="1" x14ac:dyDescent="0.3">
      <c r="O941" s="9"/>
    </row>
    <row r="942" spans="15:15" ht="15.75" customHeight="1" x14ac:dyDescent="0.3">
      <c r="O942" s="9"/>
    </row>
    <row r="943" spans="15:15" ht="15.75" customHeight="1" x14ac:dyDescent="0.3">
      <c r="O943" s="9"/>
    </row>
    <row r="944" spans="15:15" ht="15.75" customHeight="1" x14ac:dyDescent="0.3">
      <c r="O944" s="9"/>
    </row>
    <row r="945" spans="15:15" ht="15.75" customHeight="1" x14ac:dyDescent="0.3">
      <c r="O945" s="9"/>
    </row>
    <row r="946" spans="15:15" ht="15.75" customHeight="1" x14ac:dyDescent="0.3">
      <c r="O946" s="9"/>
    </row>
    <row r="947" spans="15:15" ht="15.75" customHeight="1" x14ac:dyDescent="0.3">
      <c r="O947" s="9"/>
    </row>
    <row r="948" spans="15:15" ht="15.75" customHeight="1" x14ac:dyDescent="0.3">
      <c r="O948" s="9"/>
    </row>
    <row r="949" spans="15:15" ht="15.75" customHeight="1" x14ac:dyDescent="0.3">
      <c r="O949" s="9"/>
    </row>
    <row r="950" spans="15:15" ht="15.75" customHeight="1" x14ac:dyDescent="0.3">
      <c r="O950" s="9"/>
    </row>
    <row r="951" spans="15:15" ht="15.75" customHeight="1" x14ac:dyDescent="0.3">
      <c r="O951" s="9"/>
    </row>
    <row r="952" spans="15:15" ht="15.75" customHeight="1" x14ac:dyDescent="0.3">
      <c r="O952" s="9"/>
    </row>
    <row r="953" spans="15:15" ht="15.75" customHeight="1" x14ac:dyDescent="0.3">
      <c r="O953" s="9"/>
    </row>
    <row r="954" spans="15:15" ht="15.75" customHeight="1" x14ac:dyDescent="0.3">
      <c r="O954" s="9"/>
    </row>
    <row r="955" spans="15:15" ht="15.75" customHeight="1" x14ac:dyDescent="0.3">
      <c r="O955" s="9"/>
    </row>
    <row r="956" spans="15:15" ht="15.75" customHeight="1" x14ac:dyDescent="0.3">
      <c r="O956" s="9"/>
    </row>
    <row r="957" spans="15:15" ht="15.75" customHeight="1" x14ac:dyDescent="0.3">
      <c r="O957" s="9"/>
    </row>
    <row r="958" spans="15:15" ht="15.75" customHeight="1" x14ac:dyDescent="0.3">
      <c r="O958" s="9"/>
    </row>
    <row r="959" spans="15:15" ht="15.75" customHeight="1" x14ac:dyDescent="0.3">
      <c r="O959" s="9"/>
    </row>
    <row r="960" spans="15:15" ht="15.75" customHeight="1" x14ac:dyDescent="0.3">
      <c r="O960" s="9"/>
    </row>
    <row r="961" spans="15:15" ht="15.75" customHeight="1" x14ac:dyDescent="0.3">
      <c r="O961" s="9"/>
    </row>
    <row r="962" spans="15:15" ht="15.75" customHeight="1" x14ac:dyDescent="0.3">
      <c r="O962" s="9"/>
    </row>
    <row r="963" spans="15:15" ht="15.75" customHeight="1" x14ac:dyDescent="0.3">
      <c r="O963" s="9"/>
    </row>
    <row r="964" spans="15:15" ht="15.75" customHeight="1" x14ac:dyDescent="0.3">
      <c r="O964" s="9"/>
    </row>
    <row r="965" spans="15:15" ht="15.75" customHeight="1" x14ac:dyDescent="0.3">
      <c r="O965" s="9"/>
    </row>
    <row r="966" spans="15:15" ht="15.75" customHeight="1" x14ac:dyDescent="0.3">
      <c r="O966" s="9"/>
    </row>
    <row r="967" spans="15:15" ht="15.75" customHeight="1" x14ac:dyDescent="0.3">
      <c r="O967" s="9"/>
    </row>
    <row r="968" spans="15:15" ht="15.75" customHeight="1" x14ac:dyDescent="0.3">
      <c r="O968" s="9"/>
    </row>
    <row r="969" spans="15:15" ht="15.75" customHeight="1" x14ac:dyDescent="0.3">
      <c r="O969" s="9"/>
    </row>
    <row r="970" spans="15:15" ht="15.75" customHeight="1" x14ac:dyDescent="0.3">
      <c r="O970" s="9"/>
    </row>
    <row r="971" spans="15:15" ht="15.75" customHeight="1" x14ac:dyDescent="0.3">
      <c r="O971" s="9"/>
    </row>
    <row r="972" spans="15:15" ht="15.75" customHeight="1" x14ac:dyDescent="0.3">
      <c r="O972" s="9"/>
    </row>
    <row r="973" spans="15:15" ht="15.75" customHeight="1" x14ac:dyDescent="0.3">
      <c r="O973" s="9"/>
    </row>
    <row r="974" spans="15:15" ht="15.75" customHeight="1" x14ac:dyDescent="0.3">
      <c r="O974" s="9"/>
    </row>
    <row r="975" spans="15:15" ht="15.75" customHeight="1" x14ac:dyDescent="0.3">
      <c r="O975" s="9"/>
    </row>
    <row r="976" spans="15:15" ht="15.75" customHeight="1" x14ac:dyDescent="0.3">
      <c r="O976" s="9"/>
    </row>
    <row r="977" spans="15:15" ht="15.75" customHeight="1" x14ac:dyDescent="0.3">
      <c r="O977" s="9"/>
    </row>
    <row r="978" spans="15:15" ht="15.75" customHeight="1" x14ac:dyDescent="0.3">
      <c r="O978" s="9"/>
    </row>
    <row r="979" spans="15:15" ht="15.75" customHeight="1" x14ac:dyDescent="0.3">
      <c r="O979" s="9"/>
    </row>
    <row r="980" spans="15:15" ht="15.75" customHeight="1" x14ac:dyDescent="0.3">
      <c r="O980" s="9"/>
    </row>
    <row r="981" spans="15:15" ht="15.75" customHeight="1" x14ac:dyDescent="0.3">
      <c r="O981" s="9"/>
    </row>
    <row r="982" spans="15:15" ht="15.75" customHeight="1" x14ac:dyDescent="0.3">
      <c r="O982" s="9"/>
    </row>
    <row r="983" spans="15:15" ht="15.75" customHeight="1" x14ac:dyDescent="0.3">
      <c r="O983" s="9"/>
    </row>
    <row r="984" spans="15:15" ht="15.75" customHeight="1" x14ac:dyDescent="0.3">
      <c r="O984" s="9"/>
    </row>
    <row r="985" spans="15:15" ht="15.75" customHeight="1" x14ac:dyDescent="0.3">
      <c r="O985" s="9"/>
    </row>
    <row r="986" spans="15:15" ht="15.75" customHeight="1" x14ac:dyDescent="0.3">
      <c r="O986" s="9"/>
    </row>
    <row r="987" spans="15:15" ht="15.75" customHeight="1" x14ac:dyDescent="0.3">
      <c r="O987" s="9"/>
    </row>
    <row r="988" spans="15:15" ht="15.75" customHeight="1" x14ac:dyDescent="0.3">
      <c r="O988" s="9"/>
    </row>
  </sheetData>
  <mergeCells count="4">
    <mergeCell ref="B2:E2"/>
    <mergeCell ref="B4:N4"/>
    <mergeCell ref="B11:N11"/>
    <mergeCell ref="B19:O1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989"/>
  <sheetViews>
    <sheetView zoomScale="85" zoomScaleNormal="85" workbookViewId="0">
      <selection activeCell="P18" sqref="P18"/>
    </sheetView>
  </sheetViews>
  <sheetFormatPr baseColWidth="10" defaultColWidth="12.5546875" defaultRowHeight="15" customHeight="1" x14ac:dyDescent="0.3"/>
  <cols>
    <col min="1" max="1" width="10.5546875" customWidth="1"/>
    <col min="2" max="2" width="21.6640625" customWidth="1"/>
    <col min="3" max="3" width="13.33203125" customWidth="1"/>
    <col min="4" max="14" width="11.88671875" bestFit="1" customWidth="1"/>
    <col min="15" max="15" width="12.6640625" customWidth="1"/>
    <col min="16" max="19" width="10.5546875" customWidth="1"/>
  </cols>
  <sheetData>
    <row r="1" spans="2:17" ht="14.4" x14ac:dyDescent="0.3">
      <c r="B1" s="55"/>
      <c r="C1" s="55"/>
      <c r="D1" s="55"/>
      <c r="E1" s="56"/>
      <c r="F1" s="57"/>
      <c r="G1" s="58"/>
      <c r="H1" s="58"/>
      <c r="I1" s="58"/>
      <c r="J1" s="58"/>
      <c r="K1" s="58"/>
      <c r="L1" s="58"/>
      <c r="M1" s="59"/>
      <c r="N1" s="55"/>
      <c r="O1" s="55"/>
    </row>
    <row r="2" spans="2:17" ht="14.4" x14ac:dyDescent="0.3">
      <c r="B2" s="191" t="s">
        <v>86</v>
      </c>
      <c r="C2" s="183"/>
      <c r="D2" s="183"/>
      <c r="E2" s="184"/>
      <c r="F2" s="60"/>
      <c r="G2" s="61"/>
      <c r="H2" s="61"/>
      <c r="I2" s="61"/>
      <c r="J2" s="61"/>
      <c r="K2" s="61"/>
      <c r="L2" s="61"/>
      <c r="M2" s="59"/>
      <c r="N2" s="55"/>
      <c r="O2" s="55"/>
    </row>
    <row r="3" spans="2:17" ht="14.4" x14ac:dyDescent="0.3">
      <c r="B3" s="62"/>
      <c r="C3" s="62"/>
      <c r="D3" s="62"/>
      <c r="E3" s="62"/>
      <c r="F3" s="63"/>
      <c r="G3" s="63"/>
      <c r="H3" s="63" t="s">
        <v>169</v>
      </c>
      <c r="I3" s="63"/>
      <c r="J3" s="63"/>
      <c r="K3" s="63"/>
      <c r="L3" s="63"/>
      <c r="M3" s="62"/>
      <c r="N3" s="62"/>
      <c r="O3" s="62"/>
    </row>
    <row r="4" spans="2:17" x14ac:dyDescent="0.35">
      <c r="B4" s="192" t="s">
        <v>87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4"/>
    </row>
    <row r="5" spans="2:17" ht="14.4" x14ac:dyDescent="0.3">
      <c r="B5" s="64">
        <v>0.18</v>
      </c>
      <c r="C5" s="65" t="s">
        <v>88</v>
      </c>
      <c r="D5" s="65" t="s">
        <v>89</v>
      </c>
      <c r="E5" s="65" t="s">
        <v>90</v>
      </c>
      <c r="F5" s="65" t="s">
        <v>91</v>
      </c>
      <c r="G5" s="65" t="s">
        <v>92</v>
      </c>
      <c r="H5" s="65" t="s">
        <v>93</v>
      </c>
      <c r="I5" s="65" t="s">
        <v>94</v>
      </c>
      <c r="J5" s="65" t="s">
        <v>95</v>
      </c>
      <c r="K5" s="65" t="s">
        <v>96</v>
      </c>
      <c r="L5" s="65" t="s">
        <v>97</v>
      </c>
      <c r="M5" s="65" t="s">
        <v>98</v>
      </c>
      <c r="N5" s="65" t="s">
        <v>99</v>
      </c>
      <c r="O5" s="66" t="s">
        <v>100</v>
      </c>
    </row>
    <row r="6" spans="2:17" ht="14.4" x14ac:dyDescent="0.3">
      <c r="B6" s="67" t="s">
        <v>101</v>
      </c>
      <c r="C6" s="68">
        <v>80</v>
      </c>
      <c r="D6" s="68">
        <v>80</v>
      </c>
      <c r="E6" s="68">
        <v>80</v>
      </c>
      <c r="F6" s="68">
        <v>80</v>
      </c>
      <c r="G6" s="68">
        <v>80</v>
      </c>
      <c r="H6" s="68">
        <v>80</v>
      </c>
      <c r="I6" s="68">
        <v>80</v>
      </c>
      <c r="J6" s="68">
        <v>80</v>
      </c>
      <c r="K6" s="68">
        <v>80</v>
      </c>
      <c r="L6" s="68">
        <v>80</v>
      </c>
      <c r="M6" s="68">
        <v>80</v>
      </c>
      <c r="N6" s="68">
        <v>80</v>
      </c>
      <c r="O6" s="69">
        <f>C6*12</f>
        <v>960</v>
      </c>
    </row>
    <row r="7" spans="2:17" thickBot="1" x14ac:dyDescent="0.35">
      <c r="B7" s="67" t="s">
        <v>168</v>
      </c>
      <c r="C7" s="34">
        <f>C6*30</f>
        <v>2400</v>
      </c>
      <c r="D7" s="34">
        <f t="shared" ref="D7:N7" si="0">D6*30</f>
        <v>2400</v>
      </c>
      <c r="E7" s="34">
        <f t="shared" si="0"/>
        <v>2400</v>
      </c>
      <c r="F7" s="34">
        <f t="shared" si="0"/>
        <v>2400</v>
      </c>
      <c r="G7" s="34">
        <f t="shared" si="0"/>
        <v>2400</v>
      </c>
      <c r="H7" s="34">
        <f t="shared" si="0"/>
        <v>2400</v>
      </c>
      <c r="I7" s="34">
        <f t="shared" si="0"/>
        <v>2400</v>
      </c>
      <c r="J7" s="34">
        <f t="shared" si="0"/>
        <v>2400</v>
      </c>
      <c r="K7" s="34">
        <f t="shared" si="0"/>
        <v>2400</v>
      </c>
      <c r="L7" s="34">
        <f t="shared" si="0"/>
        <v>2400</v>
      </c>
      <c r="M7" s="34">
        <f t="shared" si="0"/>
        <v>2400</v>
      </c>
      <c r="N7" s="34">
        <f t="shared" si="0"/>
        <v>2400</v>
      </c>
      <c r="O7" s="69">
        <f t="shared" ref="O7:O9" si="1">C7*12</f>
        <v>28800</v>
      </c>
    </row>
    <row r="8" spans="2:17" ht="29.4" thickBot="1" x14ac:dyDescent="0.35">
      <c r="B8" s="149" t="s">
        <v>178</v>
      </c>
      <c r="C8" s="34">
        <f>C6*0.15</f>
        <v>12</v>
      </c>
      <c r="D8" s="34">
        <f t="shared" ref="D8:N8" si="2">D6*0.15</f>
        <v>12</v>
      </c>
      <c r="E8" s="34">
        <f t="shared" si="2"/>
        <v>12</v>
      </c>
      <c r="F8" s="34">
        <f t="shared" si="2"/>
        <v>12</v>
      </c>
      <c r="G8" s="34">
        <f t="shared" si="2"/>
        <v>12</v>
      </c>
      <c r="H8" s="34">
        <f t="shared" si="2"/>
        <v>12</v>
      </c>
      <c r="I8" s="34">
        <f t="shared" si="2"/>
        <v>12</v>
      </c>
      <c r="J8" s="34">
        <f t="shared" si="2"/>
        <v>12</v>
      </c>
      <c r="K8" s="34">
        <f t="shared" si="2"/>
        <v>12</v>
      </c>
      <c r="L8" s="34">
        <f t="shared" si="2"/>
        <v>12</v>
      </c>
      <c r="M8" s="34">
        <f t="shared" si="2"/>
        <v>12</v>
      </c>
      <c r="N8" s="34">
        <f t="shared" si="2"/>
        <v>12</v>
      </c>
      <c r="O8" s="69"/>
    </row>
    <row r="9" spans="2:17" ht="29.4" thickBot="1" x14ac:dyDescent="0.35">
      <c r="B9" s="149" t="s">
        <v>165</v>
      </c>
      <c r="C9" s="34">
        <f>C8*28</f>
        <v>336</v>
      </c>
      <c r="D9" s="34">
        <f t="shared" ref="D9:N9" si="3">D8*28</f>
        <v>336</v>
      </c>
      <c r="E9" s="34">
        <f t="shared" si="3"/>
        <v>336</v>
      </c>
      <c r="F9" s="34">
        <f t="shared" si="3"/>
        <v>336</v>
      </c>
      <c r="G9" s="34">
        <f t="shared" si="3"/>
        <v>336</v>
      </c>
      <c r="H9" s="34">
        <f t="shared" si="3"/>
        <v>336</v>
      </c>
      <c r="I9" s="34">
        <f t="shared" si="3"/>
        <v>336</v>
      </c>
      <c r="J9" s="34">
        <f t="shared" si="3"/>
        <v>336</v>
      </c>
      <c r="K9" s="34">
        <f t="shared" si="3"/>
        <v>336</v>
      </c>
      <c r="L9" s="34">
        <f t="shared" si="3"/>
        <v>336</v>
      </c>
      <c r="M9" s="34">
        <f t="shared" si="3"/>
        <v>336</v>
      </c>
      <c r="N9" s="34">
        <f t="shared" si="3"/>
        <v>336</v>
      </c>
      <c r="O9" s="69">
        <f t="shared" si="1"/>
        <v>4032</v>
      </c>
      <c r="Q9" s="153" t="s">
        <v>179</v>
      </c>
    </row>
    <row r="10" spans="2:17" ht="29.4" thickBot="1" x14ac:dyDescent="0.35">
      <c r="B10" s="149" t="s">
        <v>197</v>
      </c>
      <c r="C10" s="34">
        <f>C6*0.1</f>
        <v>8</v>
      </c>
      <c r="D10" s="34">
        <f t="shared" ref="D10:N10" si="4">D6*0.1</f>
        <v>8</v>
      </c>
      <c r="E10" s="34">
        <f t="shared" si="4"/>
        <v>8</v>
      </c>
      <c r="F10" s="34">
        <f t="shared" si="4"/>
        <v>8</v>
      </c>
      <c r="G10" s="34">
        <f t="shared" si="4"/>
        <v>8</v>
      </c>
      <c r="H10" s="34">
        <f t="shared" si="4"/>
        <v>8</v>
      </c>
      <c r="I10" s="34">
        <f t="shared" si="4"/>
        <v>8</v>
      </c>
      <c r="J10" s="34">
        <f t="shared" si="4"/>
        <v>8</v>
      </c>
      <c r="K10" s="34">
        <f t="shared" si="4"/>
        <v>8</v>
      </c>
      <c r="L10" s="34">
        <f t="shared" si="4"/>
        <v>8</v>
      </c>
      <c r="M10" s="34">
        <f t="shared" si="4"/>
        <v>8</v>
      </c>
      <c r="N10" s="34">
        <f t="shared" si="4"/>
        <v>8</v>
      </c>
      <c r="O10" s="69">
        <f>SUM(C10:N10)</f>
        <v>96</v>
      </c>
      <c r="Q10" s="153"/>
    </row>
    <row r="11" spans="2:17" thickBot="1" x14ac:dyDescent="0.35">
      <c r="B11" s="149" t="s">
        <v>196</v>
      </c>
      <c r="C11" s="34">
        <f>C10*150</f>
        <v>1200</v>
      </c>
      <c r="D11" s="34">
        <f t="shared" ref="D11:M11" si="5">D10*150</f>
        <v>1200</v>
      </c>
      <c r="E11" s="34">
        <f t="shared" si="5"/>
        <v>1200</v>
      </c>
      <c r="F11" s="34">
        <f t="shared" si="5"/>
        <v>1200</v>
      </c>
      <c r="G11" s="34">
        <f t="shared" si="5"/>
        <v>1200</v>
      </c>
      <c r="H11" s="34">
        <f t="shared" si="5"/>
        <v>1200</v>
      </c>
      <c r="I11" s="34">
        <f t="shared" si="5"/>
        <v>1200</v>
      </c>
      <c r="J11" s="34">
        <f t="shared" si="5"/>
        <v>1200</v>
      </c>
      <c r="K11" s="34">
        <f t="shared" si="5"/>
        <v>1200</v>
      </c>
      <c r="L11" s="34">
        <f t="shared" si="5"/>
        <v>1200</v>
      </c>
      <c r="M11" s="34">
        <f t="shared" si="5"/>
        <v>1200</v>
      </c>
      <c r="N11" s="34">
        <f>N10*150</f>
        <v>1200</v>
      </c>
      <c r="O11" s="69">
        <f>SUM(C11:N11)</f>
        <v>14400</v>
      </c>
      <c r="Q11" s="153"/>
    </row>
    <row r="12" spans="2:17" ht="29.4" thickBot="1" x14ac:dyDescent="0.35">
      <c r="B12" s="149" t="s">
        <v>177</v>
      </c>
      <c r="C12" s="160">
        <f>C6*0.15*190/1.8</f>
        <v>1266.6666666666667</v>
      </c>
      <c r="D12" s="160">
        <f t="shared" ref="D12:N12" si="6">D6*0.15*190/1.8</f>
        <v>1266.6666666666667</v>
      </c>
      <c r="E12" s="160">
        <f t="shared" si="6"/>
        <v>1266.6666666666667</v>
      </c>
      <c r="F12" s="160">
        <f t="shared" si="6"/>
        <v>1266.6666666666667</v>
      </c>
      <c r="G12" s="160">
        <f t="shared" si="6"/>
        <v>1266.6666666666667</v>
      </c>
      <c r="H12" s="160">
        <f t="shared" si="6"/>
        <v>1266.6666666666667</v>
      </c>
      <c r="I12" s="160">
        <f t="shared" si="6"/>
        <v>1266.6666666666667</v>
      </c>
      <c r="J12" s="160">
        <f t="shared" si="6"/>
        <v>1266.6666666666667</v>
      </c>
      <c r="K12" s="160">
        <f t="shared" si="6"/>
        <v>1266.6666666666667</v>
      </c>
      <c r="L12" s="160">
        <f t="shared" si="6"/>
        <v>1266.6666666666667</v>
      </c>
      <c r="M12" s="160">
        <f t="shared" si="6"/>
        <v>1266.6666666666667</v>
      </c>
      <c r="N12" s="160">
        <f t="shared" si="6"/>
        <v>1266.6666666666667</v>
      </c>
      <c r="O12" s="69">
        <f>C12*12</f>
        <v>15200</v>
      </c>
    </row>
    <row r="13" spans="2:17" ht="29.4" thickBot="1" x14ac:dyDescent="0.35">
      <c r="B13" s="149" t="s">
        <v>167</v>
      </c>
      <c r="C13" s="160">
        <f>C6*0.1*100/1.2</f>
        <v>666.66666666666674</v>
      </c>
      <c r="D13" s="160">
        <f t="shared" ref="D13:N13" si="7">D6*0.1*100/1.2</f>
        <v>666.66666666666674</v>
      </c>
      <c r="E13" s="160">
        <f t="shared" si="7"/>
        <v>666.66666666666674</v>
      </c>
      <c r="F13" s="160">
        <f t="shared" si="7"/>
        <v>666.66666666666674</v>
      </c>
      <c r="G13" s="160">
        <f t="shared" si="7"/>
        <v>666.66666666666674</v>
      </c>
      <c r="H13" s="160">
        <f t="shared" si="7"/>
        <v>666.66666666666674</v>
      </c>
      <c r="I13" s="160">
        <f t="shared" si="7"/>
        <v>666.66666666666674</v>
      </c>
      <c r="J13" s="160">
        <f t="shared" si="7"/>
        <v>666.66666666666674</v>
      </c>
      <c r="K13" s="160">
        <f t="shared" si="7"/>
        <v>666.66666666666674</v>
      </c>
      <c r="L13" s="160">
        <f t="shared" si="7"/>
        <v>666.66666666666674</v>
      </c>
      <c r="M13" s="160">
        <f t="shared" si="7"/>
        <v>666.66666666666674</v>
      </c>
      <c r="N13" s="160">
        <f t="shared" si="7"/>
        <v>666.66666666666674</v>
      </c>
      <c r="O13" s="69">
        <f>C13*12</f>
        <v>8000.0000000000009</v>
      </c>
    </row>
    <row r="14" spans="2:17" thickBot="1" x14ac:dyDescent="0.35">
      <c r="B14" s="67" t="s">
        <v>102</v>
      </c>
      <c r="C14" s="150">
        <f>SUM(C7,C12,C13,C9+C11)</f>
        <v>5869.3333333333339</v>
      </c>
      <c r="D14" s="150">
        <f t="shared" ref="D14:N14" si="8">SUM(D7,D12,D13,D9+D11)</f>
        <v>5869.3333333333339</v>
      </c>
      <c r="E14" s="150">
        <f t="shared" si="8"/>
        <v>5869.3333333333339</v>
      </c>
      <c r="F14" s="150">
        <f t="shared" si="8"/>
        <v>5869.3333333333339</v>
      </c>
      <c r="G14" s="150">
        <f t="shared" si="8"/>
        <v>5869.3333333333339</v>
      </c>
      <c r="H14" s="150">
        <f t="shared" si="8"/>
        <v>5869.3333333333339</v>
      </c>
      <c r="I14" s="150">
        <f t="shared" si="8"/>
        <v>5869.3333333333339</v>
      </c>
      <c r="J14" s="150">
        <f t="shared" si="8"/>
        <v>5869.3333333333339</v>
      </c>
      <c r="K14" s="150">
        <f t="shared" si="8"/>
        <v>5869.3333333333339</v>
      </c>
      <c r="L14" s="150">
        <f t="shared" si="8"/>
        <v>5869.3333333333339</v>
      </c>
      <c r="M14" s="150">
        <f t="shared" si="8"/>
        <v>5869.3333333333339</v>
      </c>
      <c r="N14" s="150">
        <f t="shared" si="8"/>
        <v>5869.3333333333339</v>
      </c>
      <c r="O14" s="197">
        <f>C14*12</f>
        <v>70432</v>
      </c>
      <c r="Q14">
        <v>650930</v>
      </c>
    </row>
    <row r="15" spans="2:17" thickBot="1" x14ac:dyDescent="0.35">
      <c r="B15" s="62"/>
      <c r="C15" s="62" t="s">
        <v>194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</row>
    <row r="16" spans="2:17" x14ac:dyDescent="0.35">
      <c r="B16" s="192" t="s">
        <v>103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4"/>
    </row>
    <row r="17" spans="2:17" ht="14.4" x14ac:dyDescent="0.3">
      <c r="B17" s="64">
        <v>0.18</v>
      </c>
      <c r="C17" s="65" t="s">
        <v>88</v>
      </c>
      <c r="D17" s="65" t="s">
        <v>89</v>
      </c>
      <c r="E17" s="65" t="s">
        <v>90</v>
      </c>
      <c r="F17" s="65" t="s">
        <v>91</v>
      </c>
      <c r="G17" s="65" t="s">
        <v>92</v>
      </c>
      <c r="H17" s="65" t="s">
        <v>93</v>
      </c>
      <c r="I17" s="65" t="s">
        <v>94</v>
      </c>
      <c r="J17" s="65" t="s">
        <v>95</v>
      </c>
      <c r="K17" s="65" t="s">
        <v>96</v>
      </c>
      <c r="L17" s="65" t="s">
        <v>97</v>
      </c>
      <c r="M17" s="65" t="s">
        <v>98</v>
      </c>
      <c r="N17" s="65" t="s">
        <v>99</v>
      </c>
      <c r="O17" s="66" t="s">
        <v>104</v>
      </c>
    </row>
    <row r="18" spans="2:17" ht="14.4" x14ac:dyDescent="0.3">
      <c r="B18" s="67" t="s">
        <v>101</v>
      </c>
      <c r="C18" s="68">
        <v>110</v>
      </c>
      <c r="D18" s="68">
        <v>110</v>
      </c>
      <c r="E18" s="68">
        <v>110</v>
      </c>
      <c r="F18" s="68">
        <v>110</v>
      </c>
      <c r="G18" s="68">
        <v>110</v>
      </c>
      <c r="H18" s="68">
        <v>110</v>
      </c>
      <c r="I18" s="68">
        <v>110</v>
      </c>
      <c r="J18" s="68">
        <v>110</v>
      </c>
      <c r="K18" s="68">
        <v>110</v>
      </c>
      <c r="L18" s="68">
        <v>110</v>
      </c>
      <c r="M18" s="68">
        <v>110</v>
      </c>
      <c r="N18" s="68">
        <v>110</v>
      </c>
      <c r="O18" s="69">
        <f>C18*12</f>
        <v>1320</v>
      </c>
    </row>
    <row r="19" spans="2:17" ht="30" customHeight="1" thickBot="1" x14ac:dyDescent="0.35">
      <c r="B19" s="67" t="s">
        <v>168</v>
      </c>
      <c r="C19" s="68">
        <f>C18*30</f>
        <v>3300</v>
      </c>
      <c r="D19" s="68">
        <f t="shared" ref="D19:N19" si="9">D18*30</f>
        <v>3300</v>
      </c>
      <c r="E19" s="68">
        <f t="shared" si="9"/>
        <v>3300</v>
      </c>
      <c r="F19" s="68">
        <f t="shared" si="9"/>
        <v>3300</v>
      </c>
      <c r="G19" s="68">
        <f t="shared" si="9"/>
        <v>3300</v>
      </c>
      <c r="H19" s="68">
        <f t="shared" si="9"/>
        <v>3300</v>
      </c>
      <c r="I19" s="68">
        <f t="shared" si="9"/>
        <v>3300</v>
      </c>
      <c r="J19" s="68">
        <f t="shared" si="9"/>
        <v>3300</v>
      </c>
      <c r="K19" s="68">
        <f t="shared" si="9"/>
        <v>3300</v>
      </c>
      <c r="L19" s="68">
        <f t="shared" si="9"/>
        <v>3300</v>
      </c>
      <c r="M19" s="68">
        <f t="shared" si="9"/>
        <v>3300</v>
      </c>
      <c r="N19" s="68">
        <f t="shared" si="9"/>
        <v>3300</v>
      </c>
      <c r="O19" s="69">
        <f>C19*12</f>
        <v>39600</v>
      </c>
    </row>
    <row r="20" spans="2:17" ht="30" customHeight="1" thickBot="1" x14ac:dyDescent="0.35">
      <c r="B20" s="149" t="s">
        <v>174</v>
      </c>
      <c r="C20" s="68">
        <f>C18*0.2</f>
        <v>22</v>
      </c>
      <c r="D20" s="68">
        <f>D18*0.2</f>
        <v>22</v>
      </c>
      <c r="E20" s="68">
        <f>E18*0.2</f>
        <v>22</v>
      </c>
      <c r="F20" s="68">
        <f>F18*0.2</f>
        <v>22</v>
      </c>
      <c r="G20" s="68">
        <f>G18*0.2</f>
        <v>22</v>
      </c>
      <c r="H20" s="68">
        <f>H18*0.2</f>
        <v>22</v>
      </c>
      <c r="I20" s="68">
        <f>I18*0.2</f>
        <v>22</v>
      </c>
      <c r="J20" s="68">
        <f>J18*0.2</f>
        <v>22</v>
      </c>
      <c r="K20" s="68">
        <f>K18*0.2</f>
        <v>22</v>
      </c>
      <c r="L20" s="68">
        <f>L18*0.2</f>
        <v>22</v>
      </c>
      <c r="M20" s="68">
        <f>M18*0.2</f>
        <v>22</v>
      </c>
      <c r="N20" s="68">
        <f>N18*0.2</f>
        <v>22</v>
      </c>
      <c r="O20" s="69">
        <f t="shared" ref="O20:O22" si="10">C20*12</f>
        <v>264</v>
      </c>
    </row>
    <row r="21" spans="2:17" ht="30" customHeight="1" thickBot="1" x14ac:dyDescent="0.35">
      <c r="B21" s="149" t="s">
        <v>170</v>
      </c>
      <c r="C21" s="68">
        <f>C18*0.12*120/1.44</f>
        <v>1100</v>
      </c>
      <c r="D21" s="68">
        <f>D18*0.12*120/1.44</f>
        <v>1100</v>
      </c>
      <c r="E21" s="68">
        <f>E18*0.12*120/1.44</f>
        <v>1100</v>
      </c>
      <c r="F21" s="68">
        <f>F18*0.12*120/1.44</f>
        <v>1100</v>
      </c>
      <c r="G21" s="68">
        <f>G18*0.12*120/1.44</f>
        <v>1100</v>
      </c>
      <c r="H21" s="68">
        <f>H18*0.12*120/1.44</f>
        <v>1100</v>
      </c>
      <c r="I21" s="68">
        <f>I18*0.12*120/1.44</f>
        <v>1100</v>
      </c>
      <c r="J21" s="68">
        <f>J18*0.12*120/1.44</f>
        <v>1100</v>
      </c>
      <c r="K21" s="68">
        <f>K18*0.12*120/1.44</f>
        <v>1100</v>
      </c>
      <c r="L21" s="68">
        <f>L18*0.12*120/1.44</f>
        <v>1100</v>
      </c>
      <c r="M21" s="68">
        <f>M18*0.12*120/1.44</f>
        <v>1100</v>
      </c>
      <c r="N21" s="68">
        <f>N18*0.12*120/1.44</f>
        <v>1100</v>
      </c>
      <c r="O21" s="69">
        <f t="shared" si="10"/>
        <v>13200</v>
      </c>
    </row>
    <row r="22" spans="2:17" ht="30" customHeight="1" thickBot="1" x14ac:dyDescent="0.35">
      <c r="B22" s="149" t="s">
        <v>167</v>
      </c>
      <c r="C22" s="197">
        <f>C18*0.1*100/1.2</f>
        <v>916.66666666666674</v>
      </c>
      <c r="D22" s="197">
        <f t="shared" ref="D22:N22" si="11">D18*0.1*100/1.2</f>
        <v>916.66666666666674</v>
      </c>
      <c r="E22" s="197">
        <f t="shared" si="11"/>
        <v>916.66666666666674</v>
      </c>
      <c r="F22" s="197">
        <f t="shared" si="11"/>
        <v>916.66666666666674</v>
      </c>
      <c r="G22" s="197">
        <f t="shared" si="11"/>
        <v>916.66666666666674</v>
      </c>
      <c r="H22" s="197">
        <f t="shared" si="11"/>
        <v>916.66666666666674</v>
      </c>
      <c r="I22" s="197">
        <f t="shared" si="11"/>
        <v>916.66666666666674</v>
      </c>
      <c r="J22" s="197">
        <f t="shared" si="11"/>
        <v>916.66666666666674</v>
      </c>
      <c r="K22" s="197">
        <f t="shared" si="11"/>
        <v>916.66666666666674</v>
      </c>
      <c r="L22" s="197">
        <f t="shared" si="11"/>
        <v>916.66666666666674</v>
      </c>
      <c r="M22" s="197">
        <f t="shared" si="11"/>
        <v>916.66666666666674</v>
      </c>
      <c r="N22" s="197">
        <f t="shared" si="11"/>
        <v>916.66666666666674</v>
      </c>
      <c r="O22" s="69">
        <f t="shared" si="10"/>
        <v>11000</v>
      </c>
    </row>
    <row r="23" spans="2:17" ht="30" customHeight="1" thickBot="1" x14ac:dyDescent="0.35">
      <c r="B23" s="149" t="s">
        <v>192</v>
      </c>
      <c r="C23" s="68">
        <f>C20*29</f>
        <v>638</v>
      </c>
      <c r="D23" s="68">
        <f>D20*29</f>
        <v>638</v>
      </c>
      <c r="E23" s="68">
        <f t="shared" ref="E23:N23" si="12">E20*29</f>
        <v>638</v>
      </c>
      <c r="F23" s="68">
        <f t="shared" si="12"/>
        <v>638</v>
      </c>
      <c r="G23" s="68">
        <f t="shared" si="12"/>
        <v>638</v>
      </c>
      <c r="H23" s="68">
        <f t="shared" si="12"/>
        <v>638</v>
      </c>
      <c r="I23" s="68">
        <f t="shared" si="12"/>
        <v>638</v>
      </c>
      <c r="J23" s="68">
        <f t="shared" si="12"/>
        <v>638</v>
      </c>
      <c r="K23" s="68">
        <f t="shared" si="12"/>
        <v>638</v>
      </c>
      <c r="L23" s="68">
        <f t="shared" si="12"/>
        <v>638</v>
      </c>
      <c r="M23" s="68">
        <f t="shared" si="12"/>
        <v>638</v>
      </c>
      <c r="N23" s="68">
        <f t="shared" si="12"/>
        <v>638</v>
      </c>
      <c r="O23" s="69">
        <f>SUM(C23:N23)</f>
        <v>7656</v>
      </c>
      <c r="Q23" t="e">
        <f>O19+#REF!+O21+O22+O23</f>
        <v>#REF!</v>
      </c>
    </row>
    <row r="24" spans="2:17" thickBot="1" x14ac:dyDescent="0.35">
      <c r="B24" s="67" t="s">
        <v>102</v>
      </c>
      <c r="C24" s="197">
        <f>SUM(C19+C22+C21+C23)</f>
        <v>5954.666666666667</v>
      </c>
      <c r="D24" s="197">
        <f>SUM(D19+D22+D21+D23)</f>
        <v>5954.666666666667</v>
      </c>
      <c r="E24" s="197">
        <f>SUM(E19+E22+E21+E23)</f>
        <v>5954.666666666667</v>
      </c>
      <c r="F24" s="197">
        <f>SUM(F19+F22+F21+F23)</f>
        <v>5954.666666666667</v>
      </c>
      <c r="G24" s="197">
        <f>SUM(G19+G22+G21+G23)</f>
        <v>5954.666666666667</v>
      </c>
      <c r="H24" s="197">
        <f>SUM(H19+H22+H21+H23)</f>
        <v>5954.666666666667</v>
      </c>
      <c r="I24" s="197">
        <f>SUM(I19+I22+I21+I23)</f>
        <v>5954.666666666667</v>
      </c>
      <c r="J24" s="197">
        <f>SUM(J19+J22+J21+J23)</f>
        <v>5954.666666666667</v>
      </c>
      <c r="K24" s="197">
        <f>SUM(K19+K22+K21+K23)</f>
        <v>5954.666666666667</v>
      </c>
      <c r="L24" s="197">
        <f>SUM(L19+L22+L21+L23)</f>
        <v>5954.666666666667</v>
      </c>
      <c r="M24" s="197">
        <f>SUM(M19+M22+M21+M23)</f>
        <v>5954.666666666667</v>
      </c>
      <c r="N24" s="197">
        <f>SUM(N19+N22+N21+N23)</f>
        <v>5954.666666666667</v>
      </c>
      <c r="O24" s="70">
        <f>SUM(C24:N24)</f>
        <v>71455.999999999985</v>
      </c>
    </row>
    <row r="25" spans="2:17" ht="14.4" x14ac:dyDescent="0.3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3"/>
    </row>
    <row r="26" spans="2:17" ht="14.4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</row>
    <row r="27" spans="2:17" x14ac:dyDescent="0.35">
      <c r="B27" s="192" t="s">
        <v>105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4"/>
    </row>
    <row r="28" spans="2:17" ht="15.75" customHeight="1" x14ac:dyDescent="0.3">
      <c r="B28" s="64">
        <v>0.18</v>
      </c>
      <c r="C28" s="65" t="s">
        <v>88</v>
      </c>
      <c r="D28" s="65" t="s">
        <v>89</v>
      </c>
      <c r="E28" s="65" t="s">
        <v>90</v>
      </c>
      <c r="F28" s="65" t="s">
        <v>91</v>
      </c>
      <c r="G28" s="65" t="s">
        <v>92</v>
      </c>
      <c r="H28" s="65" t="s">
        <v>93</v>
      </c>
      <c r="I28" s="65" t="s">
        <v>94</v>
      </c>
      <c r="J28" s="65" t="s">
        <v>95</v>
      </c>
      <c r="K28" s="65" t="s">
        <v>96</v>
      </c>
      <c r="L28" s="65" t="s">
        <v>97</v>
      </c>
      <c r="M28" s="65" t="s">
        <v>98</v>
      </c>
      <c r="N28" s="65" t="s">
        <v>99</v>
      </c>
      <c r="O28" s="66" t="s">
        <v>106</v>
      </c>
    </row>
    <row r="29" spans="2:17" ht="15.75" customHeight="1" x14ac:dyDescent="0.3">
      <c r="B29" s="67" t="s">
        <v>101</v>
      </c>
      <c r="C29" s="68">
        <v>160</v>
      </c>
      <c r="D29" s="68">
        <v>160</v>
      </c>
      <c r="E29" s="68">
        <v>160</v>
      </c>
      <c r="F29" s="68">
        <v>160</v>
      </c>
      <c r="G29" s="68">
        <v>160</v>
      </c>
      <c r="H29" s="68">
        <v>160</v>
      </c>
      <c r="I29" s="68">
        <v>160</v>
      </c>
      <c r="J29" s="68">
        <v>160</v>
      </c>
      <c r="K29" s="68">
        <v>160</v>
      </c>
      <c r="L29" s="68">
        <v>160</v>
      </c>
      <c r="M29" s="68">
        <v>160</v>
      </c>
      <c r="N29" s="68">
        <v>160</v>
      </c>
      <c r="O29" s="69">
        <f>C29*12</f>
        <v>1920</v>
      </c>
    </row>
    <row r="30" spans="2:17" ht="15.75" customHeight="1" thickBot="1" x14ac:dyDescent="0.35">
      <c r="B30" s="67" t="s">
        <v>168</v>
      </c>
      <c r="C30" s="68">
        <f>C29*30</f>
        <v>4800</v>
      </c>
      <c r="D30" s="68">
        <f t="shared" ref="D30:N30" si="13">D29*30</f>
        <v>4800</v>
      </c>
      <c r="E30" s="68">
        <f t="shared" si="13"/>
        <v>4800</v>
      </c>
      <c r="F30" s="68">
        <f t="shared" si="13"/>
        <v>4800</v>
      </c>
      <c r="G30" s="68">
        <f t="shared" si="13"/>
        <v>4800</v>
      </c>
      <c r="H30" s="68">
        <f t="shared" si="13"/>
        <v>4800</v>
      </c>
      <c r="I30" s="68">
        <f t="shared" si="13"/>
        <v>4800</v>
      </c>
      <c r="J30" s="68">
        <f t="shared" si="13"/>
        <v>4800</v>
      </c>
      <c r="K30" s="68">
        <f t="shared" si="13"/>
        <v>4800</v>
      </c>
      <c r="L30" s="68">
        <f t="shared" si="13"/>
        <v>4800</v>
      </c>
      <c r="M30" s="68">
        <f t="shared" si="13"/>
        <v>4800</v>
      </c>
      <c r="N30" s="68">
        <f t="shared" si="13"/>
        <v>4800</v>
      </c>
      <c r="O30" s="69">
        <f t="shared" ref="O30:O34" si="14">C30*12</f>
        <v>57600</v>
      </c>
    </row>
    <row r="31" spans="2:17" ht="29.4" thickBot="1" x14ac:dyDescent="0.35">
      <c r="B31" s="149" t="s">
        <v>174</v>
      </c>
      <c r="C31" s="68">
        <f>C29*0.2</f>
        <v>32</v>
      </c>
      <c r="D31" s="68">
        <f t="shared" ref="D31:N31" si="15">D29*0.2</f>
        <v>32</v>
      </c>
      <c r="E31" s="68">
        <f t="shared" si="15"/>
        <v>32</v>
      </c>
      <c r="F31" s="68">
        <f t="shared" si="15"/>
        <v>32</v>
      </c>
      <c r="G31" s="68">
        <f t="shared" si="15"/>
        <v>32</v>
      </c>
      <c r="H31" s="68">
        <f t="shared" si="15"/>
        <v>32</v>
      </c>
      <c r="I31" s="68">
        <f t="shared" si="15"/>
        <v>32</v>
      </c>
      <c r="J31" s="68">
        <f t="shared" si="15"/>
        <v>32</v>
      </c>
      <c r="K31" s="68">
        <f t="shared" si="15"/>
        <v>32</v>
      </c>
      <c r="L31" s="68">
        <f t="shared" si="15"/>
        <v>32</v>
      </c>
      <c r="M31" s="68">
        <f t="shared" si="15"/>
        <v>32</v>
      </c>
      <c r="N31" s="68">
        <f t="shared" si="15"/>
        <v>32</v>
      </c>
      <c r="O31" s="69">
        <f t="shared" si="14"/>
        <v>384</v>
      </c>
    </row>
    <row r="32" spans="2:17" ht="29.4" thickBot="1" x14ac:dyDescent="0.35">
      <c r="B32" s="67" t="s">
        <v>193</v>
      </c>
      <c r="C32" s="68">
        <f>C31*30</f>
        <v>960</v>
      </c>
      <c r="D32" s="68">
        <f t="shared" ref="D32:N32" si="16">D31*30</f>
        <v>960</v>
      </c>
      <c r="E32" s="68">
        <f t="shared" si="16"/>
        <v>960</v>
      </c>
      <c r="F32" s="68">
        <f t="shared" si="16"/>
        <v>960</v>
      </c>
      <c r="G32" s="68">
        <f t="shared" si="16"/>
        <v>960</v>
      </c>
      <c r="H32" s="68">
        <f t="shared" si="16"/>
        <v>960</v>
      </c>
      <c r="I32" s="68">
        <f t="shared" si="16"/>
        <v>960</v>
      </c>
      <c r="J32" s="68">
        <f t="shared" si="16"/>
        <v>960</v>
      </c>
      <c r="K32" s="68">
        <f t="shared" si="16"/>
        <v>960</v>
      </c>
      <c r="L32" s="68">
        <f t="shared" si="16"/>
        <v>960</v>
      </c>
      <c r="M32" s="68">
        <f t="shared" si="16"/>
        <v>960</v>
      </c>
      <c r="N32" s="68">
        <f t="shared" si="16"/>
        <v>960</v>
      </c>
      <c r="O32" s="69">
        <f t="shared" si="14"/>
        <v>11520</v>
      </c>
    </row>
    <row r="33" spans="2:15" ht="29.4" thickBot="1" x14ac:dyDescent="0.35">
      <c r="B33" s="149" t="s">
        <v>166</v>
      </c>
      <c r="C33" s="68">
        <f>C29*0.15*150/1.5</f>
        <v>2400</v>
      </c>
      <c r="D33" s="68">
        <f>D29*0.15*150/1.5</f>
        <v>2400</v>
      </c>
      <c r="E33" s="68">
        <f>E29*0.15*150/1.5</f>
        <v>2400</v>
      </c>
      <c r="F33" s="68">
        <f>F29*0.15*150/1.5</f>
        <v>2400</v>
      </c>
      <c r="G33" s="68">
        <f>G29*0.15*150/1.5</f>
        <v>2400</v>
      </c>
      <c r="H33" s="68">
        <f>H29*0.15*150/1.5</f>
        <v>2400</v>
      </c>
      <c r="I33" s="68">
        <f>I29*0.15*150/1.5</f>
        <v>2400</v>
      </c>
      <c r="J33" s="68">
        <f>J29*0.15*150/1.5</f>
        <v>2400</v>
      </c>
      <c r="K33" s="68">
        <f>K29*0.15*150/1.5</f>
        <v>2400</v>
      </c>
      <c r="L33" s="68">
        <f>L29*0.15*150/1.5</f>
        <v>2400</v>
      </c>
      <c r="M33" s="68">
        <f>M29*0.15*150/1.5</f>
        <v>2400</v>
      </c>
      <c r="N33" s="68">
        <f>N29*0.15*150/1.5</f>
        <v>2400</v>
      </c>
      <c r="O33" s="69">
        <f t="shared" si="14"/>
        <v>28800</v>
      </c>
    </row>
    <row r="34" spans="2:15" ht="29.4" thickBot="1" x14ac:dyDescent="0.35">
      <c r="B34" s="149" t="s">
        <v>167</v>
      </c>
      <c r="C34" s="197">
        <f>C29*0.1*100/1.2</f>
        <v>1333.3333333333335</v>
      </c>
      <c r="D34" s="197">
        <f t="shared" ref="D34:N34" si="17">D29*0.1*100/1.2</f>
        <v>1333.3333333333335</v>
      </c>
      <c r="E34" s="197">
        <f t="shared" si="17"/>
        <v>1333.3333333333335</v>
      </c>
      <c r="F34" s="197">
        <f t="shared" si="17"/>
        <v>1333.3333333333335</v>
      </c>
      <c r="G34" s="197">
        <f t="shared" si="17"/>
        <v>1333.3333333333335</v>
      </c>
      <c r="H34" s="197">
        <f t="shared" si="17"/>
        <v>1333.3333333333335</v>
      </c>
      <c r="I34" s="197">
        <f t="shared" si="17"/>
        <v>1333.3333333333335</v>
      </c>
      <c r="J34" s="197">
        <f t="shared" si="17"/>
        <v>1333.3333333333335</v>
      </c>
      <c r="K34" s="197">
        <f t="shared" si="17"/>
        <v>1333.3333333333335</v>
      </c>
      <c r="L34" s="197">
        <f t="shared" si="17"/>
        <v>1333.3333333333335</v>
      </c>
      <c r="M34" s="197">
        <f t="shared" si="17"/>
        <v>1333.3333333333335</v>
      </c>
      <c r="N34" s="197">
        <f t="shared" si="17"/>
        <v>1333.3333333333335</v>
      </c>
      <c r="O34" s="69">
        <f t="shared" si="14"/>
        <v>16000.000000000002</v>
      </c>
    </row>
    <row r="35" spans="2:15" ht="15.75" customHeight="1" thickBot="1" x14ac:dyDescent="0.35">
      <c r="B35" s="67" t="s">
        <v>102</v>
      </c>
      <c r="C35" s="197">
        <f>C30+C32+C33+C34</f>
        <v>9493.3333333333339</v>
      </c>
      <c r="D35" s="197">
        <f t="shared" ref="D35:N35" si="18">D30+D32+D33+D34</f>
        <v>9493.3333333333339</v>
      </c>
      <c r="E35" s="197">
        <f t="shared" si="18"/>
        <v>9493.3333333333339</v>
      </c>
      <c r="F35" s="197">
        <f t="shared" si="18"/>
        <v>9493.3333333333339</v>
      </c>
      <c r="G35" s="197">
        <f t="shared" si="18"/>
        <v>9493.3333333333339</v>
      </c>
      <c r="H35" s="197">
        <f t="shared" si="18"/>
        <v>9493.3333333333339</v>
      </c>
      <c r="I35" s="197">
        <f t="shared" si="18"/>
        <v>9493.3333333333339</v>
      </c>
      <c r="J35" s="197">
        <f t="shared" si="18"/>
        <v>9493.3333333333339</v>
      </c>
      <c r="K35" s="197">
        <f t="shared" si="18"/>
        <v>9493.3333333333339</v>
      </c>
      <c r="L35" s="197">
        <f t="shared" si="18"/>
        <v>9493.3333333333339</v>
      </c>
      <c r="M35" s="197">
        <f t="shared" si="18"/>
        <v>9493.3333333333339</v>
      </c>
      <c r="N35" s="197">
        <f t="shared" si="18"/>
        <v>9493.3333333333339</v>
      </c>
      <c r="O35" s="68">
        <f>SUM(C35:N35)</f>
        <v>113919.99999999999</v>
      </c>
    </row>
    <row r="36" spans="2:15" ht="15.75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</row>
    <row r="37" spans="2:15" ht="15.75" customHeight="1" x14ac:dyDescent="0.3"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2:15" ht="15.75" customHeight="1" x14ac:dyDescent="0.3">
      <c r="B38" s="55"/>
      <c r="C38" s="62"/>
      <c r="D38" s="62"/>
      <c r="E38" s="74"/>
      <c r="F38" s="57"/>
      <c r="G38" s="57"/>
      <c r="H38" s="57"/>
      <c r="I38" s="59"/>
      <c r="J38" s="55"/>
      <c r="K38" s="55"/>
      <c r="L38" s="55"/>
      <c r="M38" s="55"/>
      <c r="N38" s="55"/>
      <c r="O38" s="55"/>
    </row>
    <row r="39" spans="2:15" ht="15.75" customHeight="1" x14ac:dyDescent="0.3">
      <c r="B39" s="75"/>
      <c r="C39" s="41">
        <v>2026</v>
      </c>
      <c r="D39" s="41">
        <v>2027</v>
      </c>
      <c r="E39" s="41">
        <v>2028</v>
      </c>
      <c r="F39" s="76"/>
      <c r="G39" s="76"/>
      <c r="H39" s="76"/>
      <c r="I39" s="55"/>
      <c r="J39" s="55"/>
      <c r="K39" s="55"/>
      <c r="L39" s="55"/>
      <c r="M39" s="55"/>
      <c r="N39" s="55"/>
      <c r="O39" s="55"/>
    </row>
    <row r="40" spans="2:15" ht="14.4" x14ac:dyDescent="0.3">
      <c r="B40" s="77" t="s">
        <v>107</v>
      </c>
      <c r="C40" s="78">
        <f>O14</f>
        <v>70432</v>
      </c>
      <c r="D40" s="79">
        <f>O24</f>
        <v>71455.999999999985</v>
      </c>
      <c r="E40" s="79">
        <f>O35</f>
        <v>113919.99999999999</v>
      </c>
      <c r="F40" s="55"/>
      <c r="G40" s="55"/>
      <c r="H40" s="55"/>
      <c r="I40" s="55"/>
      <c r="J40" s="55"/>
      <c r="K40" s="55"/>
      <c r="L40" s="55"/>
      <c r="M40" s="55"/>
      <c r="N40" s="55"/>
      <c r="O40" s="55"/>
    </row>
    <row r="41" spans="2:15" ht="15.75" customHeight="1" x14ac:dyDescent="0.3"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</row>
    <row r="42" spans="2:15" ht="15.75" customHeight="1" x14ac:dyDescent="0.3">
      <c r="B42" s="80"/>
      <c r="C42" s="80"/>
      <c r="D42" s="80"/>
      <c r="E42" s="80"/>
      <c r="F42" s="55"/>
      <c r="G42" s="55"/>
      <c r="H42" s="55"/>
      <c r="I42" s="55"/>
      <c r="J42" s="55"/>
      <c r="K42" s="55"/>
      <c r="L42" s="55"/>
      <c r="M42" s="55"/>
      <c r="N42" s="55"/>
      <c r="O42" s="55"/>
    </row>
    <row r="43" spans="2:15" ht="15.75" customHeight="1" x14ac:dyDescent="0.3"/>
    <row r="44" spans="2:15" ht="15.75" customHeight="1" x14ac:dyDescent="0.3"/>
    <row r="45" spans="2:15" ht="15.75" customHeight="1" x14ac:dyDescent="0.3"/>
    <row r="46" spans="2:15" ht="15.75" customHeight="1" x14ac:dyDescent="0.3"/>
    <row r="47" spans="2:15" ht="15.75" customHeight="1" x14ac:dyDescent="0.3"/>
    <row r="48" spans="2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</sheetData>
  <mergeCells count="4">
    <mergeCell ref="B2:E2"/>
    <mergeCell ref="B4:O4"/>
    <mergeCell ref="B16:O16"/>
    <mergeCell ref="B27:O27"/>
  </mergeCells>
  <phoneticPr fontId="3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977"/>
  <sheetViews>
    <sheetView zoomScale="85" zoomScaleNormal="85" workbookViewId="0">
      <selection activeCell="C8" sqref="C8"/>
    </sheetView>
  </sheetViews>
  <sheetFormatPr baseColWidth="10" defaultColWidth="12.5546875" defaultRowHeight="15" customHeight="1" x14ac:dyDescent="0.3"/>
  <cols>
    <col min="1" max="1" width="10.5546875" customWidth="1"/>
    <col min="2" max="2" width="19.21875" bestFit="1" customWidth="1"/>
    <col min="3" max="7" width="8.5546875" bestFit="1" customWidth="1"/>
    <col min="8" max="10" width="8" bestFit="1" customWidth="1"/>
    <col min="11" max="14" width="8.109375" customWidth="1"/>
    <col min="15" max="15" width="9" customWidth="1"/>
    <col min="16" max="26" width="10.5546875" customWidth="1"/>
  </cols>
  <sheetData>
    <row r="1" spans="2:22" ht="14.4" x14ac:dyDescent="0.3">
      <c r="B1" s="55"/>
      <c r="C1" s="55"/>
      <c r="D1" s="55"/>
      <c r="E1" s="56"/>
      <c r="F1" s="57"/>
      <c r="G1" s="58"/>
      <c r="H1" s="58"/>
      <c r="I1" s="58"/>
      <c r="J1" s="58"/>
      <c r="K1" s="58"/>
      <c r="L1" s="58"/>
      <c r="M1" s="59"/>
      <c r="N1" s="55"/>
      <c r="O1" s="55"/>
      <c r="P1" s="56"/>
      <c r="Q1" s="81"/>
      <c r="R1" s="57"/>
      <c r="S1" s="57"/>
      <c r="T1" s="57"/>
      <c r="U1" s="57"/>
      <c r="V1" s="57"/>
    </row>
    <row r="2" spans="2:22" ht="14.4" x14ac:dyDescent="0.3">
      <c r="B2" s="191" t="s">
        <v>108</v>
      </c>
      <c r="C2" s="183"/>
      <c r="D2" s="183"/>
      <c r="E2" s="184"/>
      <c r="F2" s="60"/>
      <c r="G2" s="61"/>
      <c r="H2" s="61"/>
      <c r="I2" s="61"/>
      <c r="J2" s="61"/>
      <c r="K2" s="61"/>
      <c r="L2" s="61"/>
      <c r="M2" s="59"/>
      <c r="N2" s="55"/>
      <c r="O2" s="55"/>
      <c r="P2" s="56"/>
      <c r="Q2" s="82"/>
      <c r="R2" s="82"/>
      <c r="S2" s="82"/>
      <c r="T2" s="82"/>
      <c r="U2" s="82"/>
      <c r="V2" s="82"/>
    </row>
    <row r="3" spans="2:22" ht="14.4" x14ac:dyDescent="0.3">
      <c r="B3" s="62"/>
      <c r="C3" s="62"/>
      <c r="D3" s="62"/>
      <c r="E3" s="62"/>
      <c r="F3" s="63"/>
      <c r="G3" s="63"/>
      <c r="H3" s="63"/>
      <c r="I3" s="63"/>
      <c r="J3" s="63"/>
      <c r="K3" s="63"/>
      <c r="L3" s="63"/>
      <c r="M3" s="62"/>
      <c r="N3" s="62"/>
      <c r="O3" s="62"/>
      <c r="P3" s="56"/>
      <c r="Q3" s="58"/>
      <c r="R3" s="58"/>
      <c r="S3" s="58"/>
      <c r="T3" s="58"/>
      <c r="U3" s="58"/>
      <c r="V3" s="58"/>
    </row>
    <row r="4" spans="2:22" x14ac:dyDescent="0.35">
      <c r="B4" s="192" t="s">
        <v>109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4"/>
      <c r="P4" s="55"/>
      <c r="Q4" s="76"/>
      <c r="R4" s="76"/>
      <c r="S4" s="76"/>
      <c r="T4" s="76"/>
      <c r="U4" s="76"/>
      <c r="V4" s="76"/>
    </row>
    <row r="5" spans="2:22" thickBot="1" x14ac:dyDescent="0.35">
      <c r="B5" s="64"/>
      <c r="C5" s="65" t="s">
        <v>88</v>
      </c>
      <c r="D5" s="65" t="s">
        <v>89</v>
      </c>
      <c r="E5" s="65" t="s">
        <v>90</v>
      </c>
      <c r="F5" s="65" t="s">
        <v>91</v>
      </c>
      <c r="G5" s="65" t="s">
        <v>92</v>
      </c>
      <c r="H5" s="65" t="s">
        <v>93</v>
      </c>
      <c r="I5" s="65" t="s">
        <v>94</v>
      </c>
      <c r="J5" s="65" t="s">
        <v>95</v>
      </c>
      <c r="K5" s="65" t="s">
        <v>96</v>
      </c>
      <c r="L5" s="65" t="s">
        <v>97</v>
      </c>
      <c r="M5" s="65" t="s">
        <v>98</v>
      </c>
      <c r="N5" s="65" t="s">
        <v>99</v>
      </c>
      <c r="O5" s="66" t="s">
        <v>100</v>
      </c>
      <c r="P5" s="55"/>
      <c r="Q5" s="55"/>
      <c r="R5" s="55"/>
      <c r="S5" s="55"/>
      <c r="T5" s="55"/>
      <c r="U5" s="55"/>
      <c r="V5" s="55"/>
    </row>
    <row r="6" spans="2:22" ht="29.4" thickBot="1" x14ac:dyDescent="0.35">
      <c r="B6" s="149" t="s">
        <v>171</v>
      </c>
      <c r="C6" s="151">
        <f>'6.2 ESTRUCTURA DE GASTOS'!C9</f>
        <v>380</v>
      </c>
      <c r="D6" s="151">
        <f>'6.2 ESTRUCTURA DE GASTOS'!D9</f>
        <v>140</v>
      </c>
      <c r="E6" s="151">
        <f>'6.2 ESTRUCTURA DE GASTOS'!E9</f>
        <v>140</v>
      </c>
      <c r="F6" s="151">
        <f>'6.2 ESTRUCTURA DE GASTOS'!F9</f>
        <v>260</v>
      </c>
      <c r="G6" s="151">
        <f>'6.2 ESTRUCTURA DE GASTOS'!G9</f>
        <v>240</v>
      </c>
      <c r="H6" s="151">
        <f>'6.2 ESTRUCTURA DE GASTOS'!H9</f>
        <v>140</v>
      </c>
      <c r="I6" s="151">
        <f>'6.2 ESTRUCTURA DE GASTOS'!I9</f>
        <v>120</v>
      </c>
      <c r="J6" s="151">
        <f>'6.2 ESTRUCTURA DE GASTOS'!J9</f>
        <v>140</v>
      </c>
      <c r="K6" s="151">
        <f>'6.2 ESTRUCTURA DE GASTOS'!K9</f>
        <v>260</v>
      </c>
      <c r="L6" s="151">
        <f>'6.2 ESTRUCTURA DE GASTOS'!L9</f>
        <v>120</v>
      </c>
      <c r="M6" s="151">
        <f>'6.2 ESTRUCTURA DE GASTOS'!M9</f>
        <v>260</v>
      </c>
      <c r="N6" s="151">
        <f>'6.2 ESTRUCTURA DE GASTOS'!N9</f>
        <v>140</v>
      </c>
      <c r="O6" s="161">
        <f>SUM(C6:N6)</f>
        <v>2340</v>
      </c>
      <c r="P6" s="83"/>
      <c r="Q6" s="55"/>
      <c r="R6" s="55"/>
      <c r="S6" s="55"/>
      <c r="T6" s="55"/>
      <c r="U6" s="55"/>
      <c r="V6" s="55"/>
    </row>
    <row r="7" spans="2:22" ht="29.4" thickBot="1" x14ac:dyDescent="0.35">
      <c r="B7" s="149" t="s">
        <v>172</v>
      </c>
      <c r="C7" s="151">
        <f>'6.1 INVERSION TOTAL'!C24</f>
        <v>480</v>
      </c>
      <c r="D7" s="151">
        <f>'6.1 INVERSION TOTAL'!D24</f>
        <v>480</v>
      </c>
      <c r="E7" s="151">
        <v>560</v>
      </c>
      <c r="F7" s="151">
        <v>560</v>
      </c>
      <c r="G7" s="151">
        <v>560</v>
      </c>
      <c r="H7" s="151">
        <v>560</v>
      </c>
      <c r="I7" s="151">
        <v>560</v>
      </c>
      <c r="J7" s="151">
        <v>560</v>
      </c>
      <c r="K7" s="151">
        <v>560</v>
      </c>
      <c r="L7" s="151">
        <v>560</v>
      </c>
      <c r="M7" s="151">
        <v>560</v>
      </c>
      <c r="N7" s="151">
        <v>560</v>
      </c>
      <c r="O7" s="161">
        <f t="shared" ref="O7:O8" si="0">SUM(C7:N7)</f>
        <v>6560</v>
      </c>
      <c r="P7" s="83"/>
      <c r="Q7" s="55"/>
      <c r="R7" s="55"/>
      <c r="S7" s="55"/>
      <c r="T7" s="55"/>
      <c r="U7" s="55"/>
      <c r="V7" s="55"/>
    </row>
    <row r="8" spans="2:22" ht="29.4" thickBot="1" x14ac:dyDescent="0.35">
      <c r="B8" s="149" t="s">
        <v>173</v>
      </c>
      <c r="C8" s="84">
        <f>'6.2 ESTRUCTURA DE GASTOS'!C25</f>
        <v>3030</v>
      </c>
      <c r="D8" s="84">
        <f>'6.2 ESTRUCTURA DE GASTOS'!D25</f>
        <v>3030</v>
      </c>
      <c r="E8" s="84">
        <f>'6.2 ESTRUCTURA DE GASTOS'!E25</f>
        <v>3030</v>
      </c>
      <c r="F8" s="84">
        <f>'6.2 ESTRUCTURA DE GASTOS'!F25</f>
        <v>3030</v>
      </c>
      <c r="G8" s="84">
        <f>'6.2 ESTRUCTURA DE GASTOS'!G25</f>
        <v>3030</v>
      </c>
      <c r="H8" s="84">
        <f>'6.2 ESTRUCTURA DE GASTOS'!H25</f>
        <v>3030</v>
      </c>
      <c r="I8" s="84">
        <f>'6.2 ESTRUCTURA DE GASTOS'!I25</f>
        <v>3030</v>
      </c>
      <c r="J8" s="84">
        <f>'6.2 ESTRUCTURA DE GASTOS'!J25</f>
        <v>3030</v>
      </c>
      <c r="K8" s="84">
        <f>'6.2 ESTRUCTURA DE GASTOS'!K25</f>
        <v>3030</v>
      </c>
      <c r="L8" s="84">
        <f>'6.2 ESTRUCTURA DE GASTOS'!L25</f>
        <v>3030</v>
      </c>
      <c r="M8" s="84">
        <f>'6.2 ESTRUCTURA DE GASTOS'!M25</f>
        <v>3030</v>
      </c>
      <c r="N8" s="84">
        <f>'6.2 ESTRUCTURA DE GASTOS'!N25</f>
        <v>3030</v>
      </c>
      <c r="O8" s="161">
        <f t="shared" si="0"/>
        <v>36360</v>
      </c>
      <c r="P8" s="55"/>
      <c r="Q8" s="55"/>
      <c r="R8" s="55"/>
      <c r="S8" s="55"/>
      <c r="T8" s="55"/>
      <c r="U8" s="55"/>
      <c r="V8" s="55"/>
    </row>
    <row r="9" spans="2:22" thickBot="1" x14ac:dyDescent="0.35">
      <c r="B9" s="67" t="s">
        <v>110</v>
      </c>
      <c r="C9" s="151">
        <f>SUM(C6:C8)</f>
        <v>3890</v>
      </c>
      <c r="D9" s="151">
        <f t="shared" ref="D9:N9" si="1">SUM(D6:D8)</f>
        <v>3650</v>
      </c>
      <c r="E9" s="151">
        <f t="shared" si="1"/>
        <v>3730</v>
      </c>
      <c r="F9" s="151">
        <f t="shared" si="1"/>
        <v>3850</v>
      </c>
      <c r="G9" s="151">
        <f t="shared" si="1"/>
        <v>3830</v>
      </c>
      <c r="H9" s="151">
        <f t="shared" si="1"/>
        <v>3730</v>
      </c>
      <c r="I9" s="151">
        <f t="shared" si="1"/>
        <v>3710</v>
      </c>
      <c r="J9" s="151">
        <f t="shared" si="1"/>
        <v>3730</v>
      </c>
      <c r="K9" s="151">
        <f t="shared" si="1"/>
        <v>3850</v>
      </c>
      <c r="L9" s="151">
        <f t="shared" si="1"/>
        <v>3710</v>
      </c>
      <c r="M9" s="151">
        <f t="shared" si="1"/>
        <v>3850</v>
      </c>
      <c r="N9" s="151">
        <f t="shared" si="1"/>
        <v>3730</v>
      </c>
      <c r="O9" s="70">
        <f>SUM(C9:N9)</f>
        <v>45260</v>
      </c>
      <c r="P9" s="55"/>
      <c r="Q9" s="55">
        <v>56032</v>
      </c>
      <c r="R9" s="55"/>
      <c r="S9" s="55"/>
      <c r="T9" s="55"/>
      <c r="U9" s="55"/>
      <c r="V9" s="55"/>
    </row>
    <row r="10" spans="2:22" ht="14.4" x14ac:dyDescent="0.3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55"/>
      <c r="Q10" s="85"/>
      <c r="R10" s="55"/>
      <c r="S10" s="55"/>
      <c r="T10" s="55"/>
      <c r="U10" s="55"/>
      <c r="V10" s="55"/>
    </row>
    <row r="11" spans="2:22" x14ac:dyDescent="0.35">
      <c r="B11" s="192" t="s">
        <v>111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4"/>
      <c r="P11" s="55"/>
      <c r="Q11" s="85"/>
      <c r="R11" s="55"/>
      <c r="S11" s="55"/>
      <c r="T11" s="55"/>
      <c r="U11" s="55"/>
      <c r="V11" s="55"/>
    </row>
    <row r="12" spans="2:22" ht="14.4" x14ac:dyDescent="0.3">
      <c r="B12" s="64"/>
      <c r="C12" s="65" t="s">
        <v>88</v>
      </c>
      <c r="D12" s="65" t="s">
        <v>89</v>
      </c>
      <c r="E12" s="65" t="s">
        <v>90</v>
      </c>
      <c r="F12" s="65" t="s">
        <v>91</v>
      </c>
      <c r="G12" s="65" t="s">
        <v>92</v>
      </c>
      <c r="H12" s="65" t="s">
        <v>93</v>
      </c>
      <c r="I12" s="65" t="s">
        <v>94</v>
      </c>
      <c r="J12" s="65" t="s">
        <v>95</v>
      </c>
      <c r="K12" s="65" t="s">
        <v>96</v>
      </c>
      <c r="L12" s="65" t="s">
        <v>97</v>
      </c>
      <c r="M12" s="65" t="s">
        <v>98</v>
      </c>
      <c r="N12" s="65" t="s">
        <v>99</v>
      </c>
      <c r="O12" s="66" t="s">
        <v>104</v>
      </c>
      <c r="P12" s="86"/>
      <c r="Q12" s="87"/>
      <c r="R12" s="55"/>
      <c r="S12" s="55"/>
      <c r="T12" s="55"/>
      <c r="U12" s="55"/>
      <c r="V12" s="55"/>
    </row>
    <row r="13" spans="2:22" ht="29.4" thickBot="1" x14ac:dyDescent="0.35">
      <c r="B13" s="149" t="s">
        <v>171</v>
      </c>
      <c r="C13" s="68">
        <v>212.5</v>
      </c>
      <c r="D13" s="68">
        <v>212.5</v>
      </c>
      <c r="E13" s="68">
        <v>212.5</v>
      </c>
      <c r="F13" s="68">
        <v>212.5</v>
      </c>
      <c r="G13" s="68">
        <v>212.5</v>
      </c>
      <c r="H13" s="68">
        <v>212.5</v>
      </c>
      <c r="I13" s="68">
        <v>212.5</v>
      </c>
      <c r="J13" s="68">
        <v>212.5</v>
      </c>
      <c r="K13" s="68">
        <v>212.5</v>
      </c>
      <c r="L13" s="68">
        <v>212.5</v>
      </c>
      <c r="M13" s="68">
        <v>212.5</v>
      </c>
      <c r="N13" s="68">
        <v>212.5</v>
      </c>
      <c r="O13" s="69">
        <f>SUM(C13:N13)</f>
        <v>2550</v>
      </c>
      <c r="P13" s="55"/>
      <c r="Q13" s="55"/>
      <c r="R13" s="55"/>
      <c r="S13" s="55"/>
      <c r="T13" s="55"/>
      <c r="U13" s="55"/>
      <c r="V13" s="55"/>
    </row>
    <row r="14" spans="2:22" ht="29.4" thickBot="1" x14ac:dyDescent="0.35">
      <c r="B14" s="149" t="s">
        <v>172</v>
      </c>
      <c r="C14" s="68">
        <v>630</v>
      </c>
      <c r="D14" s="68">
        <v>630</v>
      </c>
      <c r="E14" s="68">
        <v>630</v>
      </c>
      <c r="F14" s="68">
        <v>630</v>
      </c>
      <c r="G14" s="68">
        <v>630</v>
      </c>
      <c r="H14" s="68">
        <v>630</v>
      </c>
      <c r="I14" s="68">
        <v>630</v>
      </c>
      <c r="J14" s="68">
        <v>630</v>
      </c>
      <c r="K14" s="68">
        <v>630</v>
      </c>
      <c r="L14" s="68">
        <v>630</v>
      </c>
      <c r="M14" s="68">
        <v>630</v>
      </c>
      <c r="N14" s="68">
        <v>630</v>
      </c>
      <c r="O14" s="69">
        <f t="shared" ref="O14:O15" si="2">SUM(C14:N14)</f>
        <v>7560</v>
      </c>
      <c r="P14" s="55"/>
      <c r="Q14" s="55"/>
      <c r="R14" s="55"/>
      <c r="S14" s="55"/>
      <c r="T14" s="55"/>
      <c r="U14" s="55"/>
      <c r="V14" s="55"/>
    </row>
    <row r="15" spans="2:22" ht="29.4" thickBot="1" x14ac:dyDescent="0.35">
      <c r="B15" s="149" t="s">
        <v>173</v>
      </c>
      <c r="C15" s="84">
        <v>3068.5</v>
      </c>
      <c r="D15" s="84">
        <v>3068.5</v>
      </c>
      <c r="E15" s="84">
        <v>3068.5</v>
      </c>
      <c r="F15" s="84">
        <v>3068.5</v>
      </c>
      <c r="G15" s="84">
        <v>3068.5</v>
      </c>
      <c r="H15" s="84">
        <v>3068.5</v>
      </c>
      <c r="I15" s="84">
        <v>3068.5</v>
      </c>
      <c r="J15" s="84">
        <v>3068.5</v>
      </c>
      <c r="K15" s="84">
        <v>3068.5</v>
      </c>
      <c r="L15" s="84">
        <v>3068.5</v>
      </c>
      <c r="M15" s="84">
        <v>3068.5</v>
      </c>
      <c r="N15" s="84">
        <v>3068.5</v>
      </c>
      <c r="O15" s="69">
        <f t="shared" si="2"/>
        <v>36822</v>
      </c>
      <c r="P15" s="55"/>
      <c r="Q15" s="55"/>
      <c r="R15" s="55"/>
      <c r="S15" s="55"/>
      <c r="T15" s="55"/>
      <c r="U15" s="55"/>
      <c r="V15" s="55"/>
    </row>
    <row r="16" spans="2:22" ht="14.4" x14ac:dyDescent="0.3">
      <c r="B16" s="67" t="s">
        <v>110</v>
      </c>
      <c r="C16" s="152">
        <f>C13+C15+C14</f>
        <v>3911</v>
      </c>
      <c r="D16" s="152">
        <f t="shared" ref="D16:N16" si="3">D13+D15+D14</f>
        <v>3911</v>
      </c>
      <c r="E16" s="152">
        <f t="shared" si="3"/>
        <v>3911</v>
      </c>
      <c r="F16" s="152">
        <f t="shared" si="3"/>
        <v>3911</v>
      </c>
      <c r="G16" s="152">
        <f t="shared" si="3"/>
        <v>3911</v>
      </c>
      <c r="H16" s="152">
        <f t="shared" si="3"/>
        <v>3911</v>
      </c>
      <c r="I16" s="152">
        <f t="shared" si="3"/>
        <v>3911</v>
      </c>
      <c r="J16" s="152">
        <f t="shared" si="3"/>
        <v>3911</v>
      </c>
      <c r="K16" s="152">
        <f t="shared" si="3"/>
        <v>3911</v>
      </c>
      <c r="L16" s="152">
        <f t="shared" si="3"/>
        <v>3911</v>
      </c>
      <c r="M16" s="152">
        <f t="shared" si="3"/>
        <v>3911</v>
      </c>
      <c r="N16" s="152">
        <f t="shared" si="3"/>
        <v>3911</v>
      </c>
      <c r="O16" s="68">
        <f>SUM(C16:N16)</f>
        <v>46932</v>
      </c>
      <c r="P16" s="55"/>
      <c r="Q16" s="55"/>
      <c r="R16" s="55"/>
      <c r="S16" s="55"/>
      <c r="T16" s="55"/>
      <c r="U16" s="55"/>
      <c r="V16" s="55"/>
    </row>
    <row r="17" spans="2:22" ht="14.4" x14ac:dyDescent="0.3"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55"/>
      <c r="Q17" s="55"/>
      <c r="R17" s="55"/>
      <c r="S17" s="55"/>
      <c r="T17" s="55"/>
      <c r="U17" s="55"/>
      <c r="V17" s="55"/>
    </row>
    <row r="18" spans="2:22" x14ac:dyDescent="0.35">
      <c r="B18" s="192" t="s">
        <v>112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4"/>
      <c r="P18" s="55"/>
      <c r="Q18" s="55"/>
      <c r="R18" s="55"/>
      <c r="S18" s="55"/>
      <c r="T18" s="55"/>
      <c r="U18" s="55"/>
      <c r="V18" s="55"/>
    </row>
    <row r="19" spans="2:22" ht="15.75" customHeight="1" x14ac:dyDescent="0.3">
      <c r="B19" s="64"/>
      <c r="C19" s="65" t="s">
        <v>88</v>
      </c>
      <c r="D19" s="65" t="s">
        <v>89</v>
      </c>
      <c r="E19" s="65" t="s">
        <v>90</v>
      </c>
      <c r="F19" s="65" t="s">
        <v>91</v>
      </c>
      <c r="G19" s="65" t="s">
        <v>92</v>
      </c>
      <c r="H19" s="65" t="s">
        <v>93</v>
      </c>
      <c r="I19" s="65" t="s">
        <v>94</v>
      </c>
      <c r="J19" s="65" t="s">
        <v>95</v>
      </c>
      <c r="K19" s="65" t="s">
        <v>96</v>
      </c>
      <c r="L19" s="65" t="s">
        <v>97</v>
      </c>
      <c r="M19" s="65" t="s">
        <v>98</v>
      </c>
      <c r="N19" s="65" t="s">
        <v>99</v>
      </c>
      <c r="O19" s="66" t="s">
        <v>106</v>
      </c>
      <c r="P19" s="55"/>
      <c r="Q19" s="55"/>
      <c r="R19" s="55"/>
      <c r="S19" s="55"/>
      <c r="T19" s="55"/>
      <c r="U19" s="55"/>
      <c r="V19" s="55"/>
    </row>
    <row r="20" spans="2:22" ht="29.4" thickBot="1" x14ac:dyDescent="0.35">
      <c r="B20" s="149" t="s">
        <v>171</v>
      </c>
      <c r="C20" s="68">
        <v>212.5</v>
      </c>
      <c r="D20" s="68">
        <v>212.5</v>
      </c>
      <c r="E20" s="68">
        <v>212.5</v>
      </c>
      <c r="F20" s="68">
        <v>212.5</v>
      </c>
      <c r="G20" s="68">
        <v>212.5</v>
      </c>
      <c r="H20" s="68">
        <v>212.5</v>
      </c>
      <c r="I20" s="68">
        <v>212.5</v>
      </c>
      <c r="J20" s="68">
        <v>212.5</v>
      </c>
      <c r="K20" s="68">
        <v>212.5</v>
      </c>
      <c r="L20" s="68">
        <v>212.5</v>
      </c>
      <c r="M20" s="68">
        <v>212.5</v>
      </c>
      <c r="N20" s="68">
        <v>212.5</v>
      </c>
      <c r="O20" s="69">
        <f>SUM(C20:N20)</f>
        <v>2550</v>
      </c>
      <c r="P20" s="55"/>
      <c r="Q20" s="55"/>
      <c r="R20" s="55"/>
      <c r="S20" s="55"/>
      <c r="T20" s="55"/>
      <c r="U20" s="55"/>
      <c r="V20" s="55"/>
    </row>
    <row r="21" spans="2:22" ht="29.4" thickBot="1" x14ac:dyDescent="0.35">
      <c r="B21" s="149" t="s">
        <v>172</v>
      </c>
      <c r="C21" s="68">
        <v>630</v>
      </c>
      <c r="D21" s="68">
        <v>630</v>
      </c>
      <c r="E21" s="68">
        <v>630</v>
      </c>
      <c r="F21" s="68">
        <v>630</v>
      </c>
      <c r="G21" s="68">
        <v>630</v>
      </c>
      <c r="H21" s="68">
        <v>630</v>
      </c>
      <c r="I21" s="68">
        <v>630</v>
      </c>
      <c r="J21" s="68">
        <v>630</v>
      </c>
      <c r="K21" s="68">
        <v>630</v>
      </c>
      <c r="L21" s="68">
        <v>630</v>
      </c>
      <c r="M21" s="68">
        <v>630</v>
      </c>
      <c r="N21" s="68">
        <v>630</v>
      </c>
      <c r="O21" s="69">
        <f t="shared" ref="O21:O22" si="4">SUM(C21:N21)</f>
        <v>7560</v>
      </c>
      <c r="P21" s="55"/>
      <c r="Q21" s="55"/>
      <c r="R21" s="55"/>
      <c r="S21" s="55"/>
      <c r="T21" s="55"/>
      <c r="U21" s="55"/>
      <c r="V21" s="55"/>
    </row>
    <row r="22" spans="2:22" ht="29.4" thickBot="1" x14ac:dyDescent="0.35">
      <c r="B22" s="149" t="s">
        <v>173</v>
      </c>
      <c r="C22" s="84">
        <v>3068.5</v>
      </c>
      <c r="D22" s="84">
        <v>3068.5</v>
      </c>
      <c r="E22" s="84">
        <v>3068.5</v>
      </c>
      <c r="F22" s="84">
        <v>3068.5</v>
      </c>
      <c r="G22" s="84">
        <v>3068.5</v>
      </c>
      <c r="H22" s="84">
        <v>3068.5</v>
      </c>
      <c r="I22" s="84">
        <v>3068.5</v>
      </c>
      <c r="J22" s="84">
        <v>3068.5</v>
      </c>
      <c r="K22" s="84">
        <v>3068.5</v>
      </c>
      <c r="L22" s="84">
        <v>3068.5</v>
      </c>
      <c r="M22" s="84">
        <v>3068.5</v>
      </c>
      <c r="N22" s="84">
        <v>3068.5</v>
      </c>
      <c r="O22" s="69">
        <f t="shared" si="4"/>
        <v>36822</v>
      </c>
      <c r="P22" s="55"/>
      <c r="Q22" s="55"/>
      <c r="R22" s="55"/>
      <c r="S22" s="55"/>
      <c r="T22" s="55"/>
      <c r="U22" s="55"/>
      <c r="V22" s="55"/>
    </row>
    <row r="23" spans="2:22" ht="15.75" customHeight="1" x14ac:dyDescent="0.3">
      <c r="B23" s="67" t="s">
        <v>110</v>
      </c>
      <c r="C23" s="152">
        <f>C20+C22+C21</f>
        <v>3911</v>
      </c>
      <c r="D23" s="152">
        <f t="shared" ref="D23:N23" si="5">D20+D22+D21</f>
        <v>3911</v>
      </c>
      <c r="E23" s="152">
        <f t="shared" si="5"/>
        <v>3911</v>
      </c>
      <c r="F23" s="152">
        <f t="shared" si="5"/>
        <v>3911</v>
      </c>
      <c r="G23" s="152">
        <f t="shared" si="5"/>
        <v>3911</v>
      </c>
      <c r="H23" s="152">
        <f t="shared" si="5"/>
        <v>3911</v>
      </c>
      <c r="I23" s="152">
        <f t="shared" si="5"/>
        <v>3911</v>
      </c>
      <c r="J23" s="152">
        <f t="shared" si="5"/>
        <v>3911</v>
      </c>
      <c r="K23" s="152">
        <f t="shared" si="5"/>
        <v>3911</v>
      </c>
      <c r="L23" s="152">
        <f t="shared" si="5"/>
        <v>3911</v>
      </c>
      <c r="M23" s="152">
        <f t="shared" si="5"/>
        <v>3911</v>
      </c>
      <c r="N23" s="152">
        <f t="shared" si="5"/>
        <v>3911</v>
      </c>
      <c r="O23" s="70">
        <f>SUM(C23:N23)</f>
        <v>46932</v>
      </c>
      <c r="P23" s="55"/>
      <c r="Q23" s="55"/>
      <c r="R23" s="55"/>
      <c r="S23" s="55"/>
      <c r="T23" s="55"/>
      <c r="U23" s="55"/>
      <c r="V23" s="55"/>
    </row>
    <row r="24" spans="2:22" ht="15.75" customHeight="1" x14ac:dyDescent="0.3"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55"/>
      <c r="Q24" s="55"/>
      <c r="R24" s="55"/>
      <c r="S24" s="55"/>
      <c r="T24" s="55"/>
      <c r="U24" s="55"/>
      <c r="V24" s="55"/>
    </row>
    <row r="25" spans="2:22" ht="15.75" customHeight="1" x14ac:dyDescent="0.3">
      <c r="B25" s="55"/>
      <c r="C25" s="88"/>
      <c r="D25" s="55"/>
      <c r="E25" s="55"/>
      <c r="F25" s="80"/>
      <c r="G25" s="80"/>
      <c r="H25" s="80"/>
      <c r="I25" s="80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</row>
    <row r="26" spans="2:22" ht="15.75" customHeight="1" x14ac:dyDescent="0.3">
      <c r="B26" s="55"/>
      <c r="C26" s="62"/>
      <c r="D26" s="62"/>
      <c r="E26" s="74"/>
      <c r="F26" s="57"/>
      <c r="G26" s="57"/>
      <c r="H26" s="57"/>
      <c r="I26" s="57"/>
      <c r="J26" s="59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</row>
    <row r="27" spans="2:22" ht="15.75" customHeight="1" thickBot="1" x14ac:dyDescent="0.35">
      <c r="B27" s="75"/>
      <c r="C27" s="41">
        <v>2026</v>
      </c>
      <c r="D27" s="41">
        <v>2027</v>
      </c>
      <c r="E27" s="41">
        <v>2028</v>
      </c>
      <c r="F27" s="76"/>
      <c r="G27" s="76"/>
      <c r="H27" s="76"/>
      <c r="I27" s="76"/>
      <c r="J27" s="55"/>
      <c r="K27" s="55"/>
      <c r="L27" s="55"/>
      <c r="M27" s="55"/>
      <c r="N27" s="55"/>
      <c r="O27" s="55"/>
      <c r="P27" s="55"/>
      <c r="Q27" s="55"/>
      <c r="R27" s="55"/>
      <c r="S27" s="55"/>
    </row>
    <row r="28" spans="2:22" ht="29.4" thickBot="1" x14ac:dyDescent="0.35">
      <c r="B28" s="77" t="s">
        <v>195</v>
      </c>
      <c r="C28" s="78">
        <f>O9</f>
        <v>45260</v>
      </c>
      <c r="D28" s="79">
        <f>O16</f>
        <v>46932</v>
      </c>
      <c r="E28" s="78">
        <f>O23</f>
        <v>46932</v>
      </c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2:22" ht="15.75" customHeight="1" thickBot="1" x14ac:dyDescent="0.35"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</row>
    <row r="30" spans="2:22" ht="15.75" customHeight="1" x14ac:dyDescent="0.3">
      <c r="B30" s="80"/>
      <c r="C30" s="80"/>
      <c r="D30" s="80"/>
      <c r="E30" s="80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</row>
    <row r="31" spans="2:22" ht="15.75" customHeight="1" x14ac:dyDescent="0.3"/>
    <row r="32" spans="2:2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</sheetData>
  <mergeCells count="4">
    <mergeCell ref="B2:E2"/>
    <mergeCell ref="B4:O4"/>
    <mergeCell ref="B11:O11"/>
    <mergeCell ref="B18:O1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N999"/>
  <sheetViews>
    <sheetView tabSelected="1" workbookViewId="0">
      <selection activeCell="C4" sqref="C4"/>
    </sheetView>
  </sheetViews>
  <sheetFormatPr baseColWidth="10" defaultColWidth="12.5546875" defaultRowHeight="15" customHeight="1" x14ac:dyDescent="0.3"/>
  <cols>
    <col min="1" max="1" width="20.88671875" customWidth="1"/>
    <col min="2" max="26" width="10.5546875" customWidth="1"/>
  </cols>
  <sheetData>
    <row r="3" spans="1:14" ht="14.4" x14ac:dyDescent="0.3">
      <c r="A3" s="89" t="s">
        <v>113</v>
      </c>
      <c r="B3" s="90" t="s">
        <v>114</v>
      </c>
      <c r="C3" s="91" t="s">
        <v>115</v>
      </c>
      <c r="D3" s="91" t="s">
        <v>116</v>
      </c>
      <c r="E3" s="91" t="s">
        <v>117</v>
      </c>
      <c r="F3" s="91" t="s">
        <v>118</v>
      </c>
      <c r="G3" s="91" t="s">
        <v>119</v>
      </c>
      <c r="H3" s="91" t="s">
        <v>120</v>
      </c>
      <c r="I3" s="91" t="s">
        <v>121</v>
      </c>
      <c r="J3" s="91" t="s">
        <v>122</v>
      </c>
      <c r="K3" s="91" t="s">
        <v>123</v>
      </c>
      <c r="L3" s="91" t="s">
        <v>124</v>
      </c>
      <c r="M3" s="91" t="s">
        <v>125</v>
      </c>
      <c r="N3" s="91" t="s">
        <v>126</v>
      </c>
    </row>
    <row r="4" spans="1:14" ht="14.4" x14ac:dyDescent="0.3">
      <c r="A4" s="92" t="s">
        <v>127</v>
      </c>
      <c r="B4" s="93">
        <v>0</v>
      </c>
      <c r="C4" s="94">
        <f>C5</f>
        <v>5869.3333333333339</v>
      </c>
      <c r="D4" s="94">
        <f t="shared" ref="D4:N4" si="0">D5</f>
        <v>5869.3333333333339</v>
      </c>
      <c r="E4" s="94">
        <f t="shared" si="0"/>
        <v>5869.3333333333339</v>
      </c>
      <c r="F4" s="94">
        <f t="shared" si="0"/>
        <v>5869.3333333333339</v>
      </c>
      <c r="G4" s="94">
        <f t="shared" si="0"/>
        <v>5869.3333333333339</v>
      </c>
      <c r="H4" s="94">
        <f t="shared" si="0"/>
        <v>5869.3333333333339</v>
      </c>
      <c r="I4" s="94">
        <f t="shared" si="0"/>
        <v>5869.3333333333339</v>
      </c>
      <c r="J4" s="94">
        <f t="shared" si="0"/>
        <v>5869.3333333333339</v>
      </c>
      <c r="K4" s="94">
        <f t="shared" si="0"/>
        <v>5869.3333333333339</v>
      </c>
      <c r="L4" s="94">
        <f t="shared" si="0"/>
        <v>5869.3333333333339</v>
      </c>
      <c r="M4" s="94">
        <f>M5</f>
        <v>5869.3333333333339</v>
      </c>
      <c r="N4" s="94">
        <f t="shared" si="0"/>
        <v>5869.3333333333339</v>
      </c>
    </row>
    <row r="5" spans="1:14" ht="14.4" x14ac:dyDescent="0.3">
      <c r="A5" s="95" t="s">
        <v>128</v>
      </c>
      <c r="B5" s="95"/>
      <c r="C5" s="96">
        <f>'6.3 PRESUPUESTO DE INGRESOS'!C14</f>
        <v>5869.3333333333339</v>
      </c>
      <c r="D5" s="96">
        <f>'6.3 PRESUPUESTO DE INGRESOS'!D14</f>
        <v>5869.3333333333339</v>
      </c>
      <c r="E5" s="96">
        <f>'6.3 PRESUPUESTO DE INGRESOS'!E14</f>
        <v>5869.3333333333339</v>
      </c>
      <c r="F5" s="96">
        <f>'6.3 PRESUPUESTO DE INGRESOS'!F14</f>
        <v>5869.3333333333339</v>
      </c>
      <c r="G5" s="96">
        <f>'6.3 PRESUPUESTO DE INGRESOS'!G14</f>
        <v>5869.3333333333339</v>
      </c>
      <c r="H5" s="96">
        <f>'6.3 PRESUPUESTO DE INGRESOS'!H14</f>
        <v>5869.3333333333339</v>
      </c>
      <c r="I5" s="96">
        <f>'6.3 PRESUPUESTO DE INGRESOS'!I14</f>
        <v>5869.3333333333339</v>
      </c>
      <c r="J5" s="96">
        <f>'6.3 PRESUPUESTO DE INGRESOS'!J14</f>
        <v>5869.3333333333339</v>
      </c>
      <c r="K5" s="96">
        <f>'6.3 PRESUPUESTO DE INGRESOS'!K14</f>
        <v>5869.3333333333339</v>
      </c>
      <c r="L5" s="96">
        <f>'6.3 PRESUPUESTO DE INGRESOS'!L14</f>
        <v>5869.3333333333339</v>
      </c>
      <c r="M5" s="96">
        <f>'6.3 PRESUPUESTO DE INGRESOS'!M14</f>
        <v>5869.3333333333339</v>
      </c>
      <c r="N5" s="96">
        <f>'6.3 PRESUPUESTO DE INGRESOS'!N14</f>
        <v>5869.3333333333339</v>
      </c>
    </row>
    <row r="6" spans="1:14" ht="14.4" x14ac:dyDescent="0.3">
      <c r="A6" s="92" t="s">
        <v>129</v>
      </c>
      <c r="B6" s="94">
        <f>'6.1 INVERSION TOTAL'!D3</f>
        <v>19080</v>
      </c>
      <c r="C6" s="94">
        <f>SUM(C7:C11)</f>
        <v>7838.6933333333336</v>
      </c>
      <c r="D6" s="94">
        <f>SUM(D7:D11)</f>
        <v>7388.6933333333336</v>
      </c>
      <c r="E6" s="94">
        <f t="shared" ref="D6:N6" si="1">SUM(E7:E11)</f>
        <v>7468.6933333333336</v>
      </c>
      <c r="F6" s="94">
        <f t="shared" si="1"/>
        <v>7708.6933333333336</v>
      </c>
      <c r="G6" s="94">
        <f t="shared" si="1"/>
        <v>7668.6933333333336</v>
      </c>
      <c r="H6" s="94">
        <f t="shared" si="1"/>
        <v>7468.6933333333336</v>
      </c>
      <c r="I6" s="94">
        <f>SUM(I7:I11)</f>
        <v>7428.6933333333336</v>
      </c>
      <c r="J6" s="94">
        <f t="shared" si="1"/>
        <v>7468.6933333333336</v>
      </c>
      <c r="K6" s="94">
        <f t="shared" si="1"/>
        <v>7708.6933333333336</v>
      </c>
      <c r="L6" s="94">
        <f t="shared" si="1"/>
        <v>7428.6933333333336</v>
      </c>
      <c r="M6" s="94">
        <f t="shared" si="1"/>
        <v>7708.6933333333336</v>
      </c>
      <c r="N6" s="94">
        <f t="shared" si="1"/>
        <v>7468.6933333333336</v>
      </c>
    </row>
    <row r="7" spans="1:14" ht="14.4" x14ac:dyDescent="0.3">
      <c r="A7" s="95" t="s">
        <v>130</v>
      </c>
      <c r="B7" s="95"/>
      <c r="C7" s="96">
        <f>'6.4 PRESUPUEST DE eGRESOS'!C9</f>
        <v>3890</v>
      </c>
      <c r="D7" s="96">
        <f>'6.4 PRESUPUEST DE eGRESOS'!D9</f>
        <v>3650</v>
      </c>
      <c r="E7" s="96">
        <f>'6.4 PRESUPUEST DE eGRESOS'!E9</f>
        <v>3730</v>
      </c>
      <c r="F7" s="96">
        <f>'6.4 PRESUPUEST DE eGRESOS'!F9</f>
        <v>3850</v>
      </c>
      <c r="G7" s="96">
        <f>'6.4 PRESUPUEST DE eGRESOS'!G9</f>
        <v>3830</v>
      </c>
      <c r="H7" s="96">
        <f>'6.4 PRESUPUEST DE eGRESOS'!H9</f>
        <v>3730</v>
      </c>
      <c r="I7" s="96">
        <f>'6.4 PRESUPUEST DE eGRESOS'!I9</f>
        <v>3710</v>
      </c>
      <c r="J7" s="96">
        <f>'6.4 PRESUPUEST DE eGRESOS'!J9</f>
        <v>3730</v>
      </c>
      <c r="K7" s="96">
        <f>'6.4 PRESUPUEST DE eGRESOS'!K9</f>
        <v>3850</v>
      </c>
      <c r="L7" s="96">
        <f>'6.4 PRESUPUEST DE eGRESOS'!L9</f>
        <v>3710</v>
      </c>
      <c r="M7" s="96">
        <f>'6.4 PRESUPUEST DE eGRESOS'!M9</f>
        <v>3850</v>
      </c>
      <c r="N7" s="96">
        <f>'6.4 PRESUPUEST DE eGRESOS'!N9</f>
        <v>3730</v>
      </c>
    </row>
    <row r="8" spans="1:14" ht="14.4" x14ac:dyDescent="0.3">
      <c r="A8" s="95" t="s">
        <v>48</v>
      </c>
      <c r="B8" s="95"/>
      <c r="C8" s="97">
        <f>'6.2 ESTRUCTURA DE GASTOS'!C9</f>
        <v>380</v>
      </c>
      <c r="D8" s="97">
        <f>'6.2 ESTRUCTURA DE GASTOS'!D9</f>
        <v>140</v>
      </c>
      <c r="E8" s="97">
        <f>'6.2 ESTRUCTURA DE GASTOS'!E9</f>
        <v>140</v>
      </c>
      <c r="F8" s="97">
        <f>'6.2 ESTRUCTURA DE GASTOS'!F9</f>
        <v>260</v>
      </c>
      <c r="G8" s="97">
        <f>'6.2 ESTRUCTURA DE GASTOS'!G9</f>
        <v>240</v>
      </c>
      <c r="H8" s="97">
        <f>'6.2 ESTRUCTURA DE GASTOS'!H9</f>
        <v>140</v>
      </c>
      <c r="I8" s="97">
        <f>'6.2 ESTRUCTURA DE GASTOS'!I9</f>
        <v>120</v>
      </c>
      <c r="J8" s="97">
        <f>'6.2 ESTRUCTURA DE GASTOS'!J9</f>
        <v>140</v>
      </c>
      <c r="K8" s="97">
        <f>'6.2 ESTRUCTURA DE GASTOS'!K9</f>
        <v>260</v>
      </c>
      <c r="L8" s="97">
        <f>'6.2 ESTRUCTURA DE GASTOS'!L9</f>
        <v>120</v>
      </c>
      <c r="M8" s="97">
        <f>'6.2 ESTRUCTURA DE GASTOS'!M9</f>
        <v>260</v>
      </c>
      <c r="N8" s="97">
        <f>'6.2 ESTRUCTURA DE GASTOS'!N9</f>
        <v>140</v>
      </c>
    </row>
    <row r="9" spans="1:14" ht="14.4" x14ac:dyDescent="0.3">
      <c r="A9" s="95" t="s">
        <v>49</v>
      </c>
      <c r="B9" s="95"/>
      <c r="C9" s="98">
        <f>'6.2 ESTRUCTURA DE GASTOS'!C17</f>
        <v>480</v>
      </c>
      <c r="D9" s="98">
        <f>'6.2 ESTRUCTURA DE GASTOS'!D17</f>
        <v>510</v>
      </c>
      <c r="E9" s="98">
        <f>'6.2 ESTRUCTURA DE GASTOS'!E17</f>
        <v>510</v>
      </c>
      <c r="F9" s="98">
        <f>'6.2 ESTRUCTURA DE GASTOS'!F17</f>
        <v>510</v>
      </c>
      <c r="G9" s="98">
        <f>'6.2 ESTRUCTURA DE GASTOS'!G17</f>
        <v>510</v>
      </c>
      <c r="H9" s="98">
        <f>'6.2 ESTRUCTURA DE GASTOS'!H17</f>
        <v>510</v>
      </c>
      <c r="I9" s="98">
        <f>'6.2 ESTRUCTURA DE GASTOS'!I17</f>
        <v>510</v>
      </c>
      <c r="J9" s="98">
        <f>'6.2 ESTRUCTURA DE GASTOS'!J17</f>
        <v>510</v>
      </c>
      <c r="K9" s="98">
        <f>'6.2 ESTRUCTURA DE GASTOS'!K17</f>
        <v>510</v>
      </c>
      <c r="L9" s="98">
        <f>'6.2 ESTRUCTURA DE GASTOS'!L17</f>
        <v>510</v>
      </c>
      <c r="M9" s="98">
        <f>'6.2 ESTRUCTURA DE GASTOS'!M17</f>
        <v>510</v>
      </c>
      <c r="N9" s="98">
        <f>'6.2 ESTRUCTURA DE GASTOS'!N17</f>
        <v>510</v>
      </c>
    </row>
    <row r="10" spans="1:14" ht="14.4" x14ac:dyDescent="0.3">
      <c r="A10" s="95" t="s">
        <v>50</v>
      </c>
      <c r="B10" s="95"/>
      <c r="C10" s="98">
        <f>'6.2 ESTRUCTURA DE GASTOS'!C25:N25</f>
        <v>3030</v>
      </c>
      <c r="D10" s="98">
        <f>'6.2 ESTRUCTURA DE GASTOS'!D25:O25</f>
        <v>3030</v>
      </c>
      <c r="E10" s="98">
        <f>'6.2 ESTRUCTURA DE GASTOS'!E25:O25</f>
        <v>3030</v>
      </c>
      <c r="F10" s="98">
        <f>'6.2 ESTRUCTURA DE GASTOS'!F25:P25</f>
        <v>3030</v>
      </c>
      <c r="G10" s="98">
        <f>'6.2 ESTRUCTURA DE GASTOS'!G25:Q25</f>
        <v>3030</v>
      </c>
      <c r="H10" s="98">
        <f>'6.2 ESTRUCTURA DE GASTOS'!H25:R25</f>
        <v>3030</v>
      </c>
      <c r="I10" s="98">
        <f>'6.2 ESTRUCTURA DE GASTOS'!I25:S25</f>
        <v>3030</v>
      </c>
      <c r="J10" s="98">
        <f>'6.2 ESTRUCTURA DE GASTOS'!J25:T25</f>
        <v>3030</v>
      </c>
      <c r="K10" s="98">
        <f>'6.2 ESTRUCTURA DE GASTOS'!K25:U25</f>
        <v>3030</v>
      </c>
      <c r="L10" s="98">
        <f>'6.2 ESTRUCTURA DE GASTOS'!L25:V25</f>
        <v>3030</v>
      </c>
      <c r="M10" s="98">
        <f>'6.2 ESTRUCTURA DE GASTOS'!M25:W25</f>
        <v>3030</v>
      </c>
      <c r="N10" s="98">
        <f>'6.2 ESTRUCTURA DE GASTOS'!N25:X25</f>
        <v>3030</v>
      </c>
    </row>
    <row r="11" spans="1:14" ht="14.4" x14ac:dyDescent="0.3">
      <c r="A11" s="92" t="s">
        <v>131</v>
      </c>
      <c r="B11" s="92"/>
      <c r="C11" s="94">
        <f>C5*0.01</f>
        <v>58.693333333333342</v>
      </c>
      <c r="D11" s="94">
        <f t="shared" ref="D11:N11" si="2">D5*0.01</f>
        <v>58.693333333333342</v>
      </c>
      <c r="E11" s="94">
        <f t="shared" si="2"/>
        <v>58.693333333333342</v>
      </c>
      <c r="F11" s="94">
        <f t="shared" si="2"/>
        <v>58.693333333333342</v>
      </c>
      <c r="G11" s="94">
        <f t="shared" si="2"/>
        <v>58.693333333333342</v>
      </c>
      <c r="H11" s="94">
        <f t="shared" si="2"/>
        <v>58.693333333333342</v>
      </c>
      <c r="I11" s="94">
        <f t="shared" si="2"/>
        <v>58.693333333333342</v>
      </c>
      <c r="J11" s="94">
        <f t="shared" si="2"/>
        <v>58.693333333333342</v>
      </c>
      <c r="K11" s="94">
        <f t="shared" si="2"/>
        <v>58.693333333333342</v>
      </c>
      <c r="L11" s="94">
        <f t="shared" si="2"/>
        <v>58.693333333333342</v>
      </c>
      <c r="M11" s="94">
        <f t="shared" si="2"/>
        <v>58.693333333333342</v>
      </c>
      <c r="N11" s="94">
        <f t="shared" si="2"/>
        <v>58.693333333333342</v>
      </c>
    </row>
    <row r="12" spans="1:14" ht="14.4" x14ac:dyDescent="0.3">
      <c r="A12" s="95" t="s">
        <v>132</v>
      </c>
      <c r="B12" s="96">
        <f>B4-B6</f>
        <v>-19080</v>
      </c>
      <c r="C12" s="96">
        <f>C4-C6</f>
        <v>-1969.3599999999997</v>
      </c>
      <c r="D12" s="96">
        <f t="shared" ref="D12:N12" si="3">D4-D6</f>
        <v>-1519.3599999999997</v>
      </c>
      <c r="E12" s="96">
        <f t="shared" si="3"/>
        <v>-1599.3599999999997</v>
      </c>
      <c r="F12" s="96">
        <f t="shared" si="3"/>
        <v>-1839.3599999999997</v>
      </c>
      <c r="G12" s="96">
        <f t="shared" si="3"/>
        <v>-1799.3599999999997</v>
      </c>
      <c r="H12" s="96">
        <f t="shared" si="3"/>
        <v>-1599.3599999999997</v>
      </c>
      <c r="I12" s="96">
        <f t="shared" si="3"/>
        <v>-1559.3599999999997</v>
      </c>
      <c r="J12" s="96">
        <f t="shared" si="3"/>
        <v>-1599.3599999999997</v>
      </c>
      <c r="K12" s="96">
        <f t="shared" si="3"/>
        <v>-1839.3599999999997</v>
      </c>
      <c r="L12" s="96">
        <f t="shared" si="3"/>
        <v>-1559.3599999999997</v>
      </c>
      <c r="M12" s="96">
        <f t="shared" si="3"/>
        <v>-1839.3599999999997</v>
      </c>
      <c r="N12" s="96">
        <f t="shared" si="3"/>
        <v>-1599.3599999999997</v>
      </c>
    </row>
    <row r="13" spans="1:14" ht="14.4" x14ac:dyDescent="0.3">
      <c r="A13" s="95" t="s">
        <v>133</v>
      </c>
      <c r="B13" s="95"/>
      <c r="C13" s="96">
        <f>B12+C12</f>
        <v>-21049.360000000001</v>
      </c>
      <c r="D13" s="96">
        <f t="shared" ref="D13:N13" si="4">C13+D12</f>
        <v>-22568.720000000001</v>
      </c>
      <c r="E13" s="96">
        <f t="shared" si="4"/>
        <v>-24168.080000000002</v>
      </c>
      <c r="F13" s="96">
        <f t="shared" si="4"/>
        <v>-26007.440000000002</v>
      </c>
      <c r="G13" s="96">
        <f t="shared" si="4"/>
        <v>-27806.800000000003</v>
      </c>
      <c r="H13" s="96">
        <f t="shared" si="4"/>
        <v>-29406.160000000003</v>
      </c>
      <c r="I13" s="96">
        <f t="shared" si="4"/>
        <v>-30965.520000000004</v>
      </c>
      <c r="J13" s="96">
        <f t="shared" si="4"/>
        <v>-32564.880000000005</v>
      </c>
      <c r="K13" s="96">
        <f t="shared" si="4"/>
        <v>-34404.240000000005</v>
      </c>
      <c r="L13" s="96">
        <f t="shared" si="4"/>
        <v>-35963.600000000006</v>
      </c>
      <c r="M13" s="96">
        <f t="shared" si="4"/>
        <v>-37802.960000000006</v>
      </c>
      <c r="N13" s="96">
        <f t="shared" si="4"/>
        <v>-39402.320000000007</v>
      </c>
    </row>
    <row r="20" spans="4:5" ht="15.75" customHeight="1" x14ac:dyDescent="0.3">
      <c r="D20" s="146" t="s">
        <v>152</v>
      </c>
      <c r="E20" s="144" t="s">
        <v>151</v>
      </c>
    </row>
    <row r="21" spans="4:5" ht="15.75" customHeight="1" x14ac:dyDescent="0.3"/>
    <row r="22" spans="4:5" ht="15.75" customHeight="1" x14ac:dyDescent="0.3"/>
    <row r="23" spans="4:5" ht="15.75" customHeight="1" x14ac:dyDescent="0.3"/>
    <row r="24" spans="4:5" ht="15.75" customHeight="1" x14ac:dyDescent="0.3"/>
    <row r="25" spans="4:5" ht="15.75" customHeight="1" x14ac:dyDescent="0.3"/>
    <row r="26" spans="4:5" ht="15.75" customHeight="1" x14ac:dyDescent="0.3"/>
    <row r="27" spans="4:5" ht="15.75" customHeight="1" x14ac:dyDescent="0.3"/>
    <row r="28" spans="4:5" ht="15.75" customHeight="1" x14ac:dyDescent="0.3"/>
    <row r="29" spans="4:5" ht="15.75" customHeight="1" x14ac:dyDescent="0.3"/>
    <row r="30" spans="4:5" ht="15.75" customHeight="1" x14ac:dyDescent="0.3"/>
    <row r="31" spans="4:5" ht="15.75" customHeight="1" x14ac:dyDescent="0.3"/>
    <row r="32" spans="4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F997"/>
  <sheetViews>
    <sheetView zoomScale="115" zoomScaleNormal="115" workbookViewId="0">
      <selection activeCell="J19" sqref="J19"/>
    </sheetView>
  </sheetViews>
  <sheetFormatPr baseColWidth="10" defaultColWidth="12.5546875" defaultRowHeight="15" customHeight="1" x14ac:dyDescent="0.3"/>
  <cols>
    <col min="1" max="1" width="10.5546875" customWidth="1"/>
    <col min="2" max="2" width="22.88671875" customWidth="1"/>
    <col min="3" max="26" width="10.5546875" customWidth="1"/>
  </cols>
  <sheetData>
    <row r="3" spans="2:6" ht="14.4" x14ac:dyDescent="0.3">
      <c r="B3" s="195" t="s">
        <v>134</v>
      </c>
      <c r="C3" s="196"/>
      <c r="D3" s="196"/>
      <c r="E3" s="196"/>
      <c r="F3" s="196"/>
    </row>
    <row r="4" spans="2:6" ht="14.4" x14ac:dyDescent="0.3">
      <c r="B4" s="89" t="s">
        <v>113</v>
      </c>
      <c r="C4" s="90" t="s">
        <v>135</v>
      </c>
      <c r="D4" s="91" t="s">
        <v>136</v>
      </c>
      <c r="E4" s="99" t="s">
        <v>137</v>
      </c>
      <c r="F4" s="100" t="s">
        <v>138</v>
      </c>
    </row>
    <row r="5" spans="2:6" ht="14.4" x14ac:dyDescent="0.3">
      <c r="B5" s="92" t="s">
        <v>127</v>
      </c>
      <c r="C5" s="94">
        <v>0</v>
      </c>
      <c r="D5" s="94">
        <f t="shared" ref="D5:F5" si="0">D6</f>
        <v>70432</v>
      </c>
      <c r="E5" s="94">
        <f t="shared" si="0"/>
        <v>71455.999999999985</v>
      </c>
      <c r="F5" s="94">
        <f t="shared" si="0"/>
        <v>113919.99999999999</v>
      </c>
    </row>
    <row r="6" spans="2:6" ht="14.4" x14ac:dyDescent="0.3">
      <c r="B6" s="95" t="s">
        <v>128</v>
      </c>
      <c r="C6" s="101"/>
      <c r="D6" s="96">
        <f>'6.3 PRESUPUESTO DE INGRESOS'!C40</f>
        <v>70432</v>
      </c>
      <c r="E6" s="96">
        <f>'6.3 PRESUPUESTO DE INGRESOS'!D40</f>
        <v>71455.999999999985</v>
      </c>
      <c r="F6" s="96">
        <f>'6.3 PRESUPUESTO DE INGRESOS'!E40</f>
        <v>113919.99999999999</v>
      </c>
    </row>
    <row r="7" spans="2:6" ht="14.4" x14ac:dyDescent="0.3">
      <c r="B7" s="92" t="s">
        <v>129</v>
      </c>
      <c r="C7" s="94">
        <f>'6.1 INVERSION TOTAL'!D32</f>
        <v>19080</v>
      </c>
      <c r="D7" s="94">
        <f>SUM(D8:D10)</f>
        <v>94275</v>
      </c>
      <c r="E7" s="94">
        <f t="shared" ref="E7:F7" si="1">SUM(E8:E10)</f>
        <v>99820.700000000012</v>
      </c>
      <c r="F7" s="94">
        <f t="shared" si="1"/>
        <v>101903.71100000001</v>
      </c>
    </row>
    <row r="8" spans="2:6" ht="14.4" x14ac:dyDescent="0.3">
      <c r="B8" s="95" t="s">
        <v>130</v>
      </c>
      <c r="C8" s="101"/>
      <c r="D8" s="96">
        <f>'6.4 PRESUPUEST DE eGRESOS'!O9</f>
        <v>45260</v>
      </c>
      <c r="E8" s="96">
        <f>'6.4 PRESUPUEST DE eGRESOS'!O16</f>
        <v>46932</v>
      </c>
      <c r="F8" s="96">
        <f>'6.4 PRESUPUEST DE eGRESOS'!O23</f>
        <v>46932</v>
      </c>
    </row>
    <row r="9" spans="2:6" ht="14.4" x14ac:dyDescent="0.3">
      <c r="B9" s="95" t="s">
        <v>139</v>
      </c>
      <c r="C9" s="101"/>
      <c r="D9" s="96">
        <f>'6.2 ESTRUCTURA DE GASTOS'!C37</f>
        <v>44790</v>
      </c>
      <c r="E9" s="96">
        <f>'6.2 ESTRUCTURA DE GASTOS'!D37</f>
        <v>46133.700000000004</v>
      </c>
      <c r="F9" s="96">
        <f>'6.2 ESTRUCTURA DE GASTOS'!E37</f>
        <v>47517.711000000003</v>
      </c>
    </row>
    <row r="10" spans="2:6" ht="14.4" x14ac:dyDescent="0.3">
      <c r="B10" s="95" t="s">
        <v>140</v>
      </c>
      <c r="C10" s="101"/>
      <c r="D10" s="96">
        <v>4225</v>
      </c>
      <c r="E10" s="96">
        <v>6755</v>
      </c>
      <c r="F10" s="96">
        <v>7454</v>
      </c>
    </row>
    <row r="11" spans="2:6" ht="14.4" x14ac:dyDescent="0.3">
      <c r="B11" s="95" t="s">
        <v>132</v>
      </c>
      <c r="C11" s="96">
        <f t="shared" ref="C11:F11" si="2">C5-C7</f>
        <v>-19080</v>
      </c>
      <c r="D11" s="96">
        <f>D5-D7</f>
        <v>-23843</v>
      </c>
      <c r="E11" s="96">
        <f t="shared" si="2"/>
        <v>-28364.700000000026</v>
      </c>
      <c r="F11" s="96">
        <f t="shared" si="2"/>
        <v>12016.288999999975</v>
      </c>
    </row>
    <row r="15" spans="2:6" ht="14.4" x14ac:dyDescent="0.3">
      <c r="B15" s="90" t="s">
        <v>141</v>
      </c>
      <c r="C15" s="102"/>
    </row>
    <row r="16" spans="2:6" ht="14.4" x14ac:dyDescent="0.3">
      <c r="B16" s="95" t="s">
        <v>142</v>
      </c>
      <c r="C16" s="103">
        <v>0.14000000000000001</v>
      </c>
      <c r="E16" s="144" t="s">
        <v>148</v>
      </c>
    </row>
    <row r="17" spans="2:5" ht="14.4" x14ac:dyDescent="0.3">
      <c r="B17" s="95" t="s">
        <v>143</v>
      </c>
      <c r="C17" s="104">
        <f>NPV(C16,C11:F11)</f>
        <v>-47114.013228115473</v>
      </c>
      <c r="E17" s="144" t="s">
        <v>149</v>
      </c>
    </row>
    <row r="18" spans="2:5" ht="15.75" customHeight="1" x14ac:dyDescent="0.3">
      <c r="B18" s="95" t="s">
        <v>144</v>
      </c>
      <c r="C18" s="103">
        <f>IRR(C11:F11)</f>
        <v>-0.68257511062476395</v>
      </c>
      <c r="E18" s="144" t="s">
        <v>150</v>
      </c>
    </row>
    <row r="19" spans="2:5" ht="15.75" customHeight="1" x14ac:dyDescent="0.3">
      <c r="B19" s="95" t="s">
        <v>145</v>
      </c>
      <c r="C19" s="105">
        <f>C22/C23</f>
        <v>0.78287442576034383</v>
      </c>
      <c r="E19" s="144" t="s">
        <v>149</v>
      </c>
    </row>
    <row r="20" spans="2:5" ht="15.75" customHeight="1" x14ac:dyDescent="0.3"/>
    <row r="21" spans="2:5" ht="15.75" customHeight="1" x14ac:dyDescent="0.3"/>
    <row r="22" spans="2:5" ht="15.75" customHeight="1" x14ac:dyDescent="0.3">
      <c r="B22" s="95" t="s">
        <v>146</v>
      </c>
      <c r="C22" s="143">
        <f>NPV(C16,C5:F5)</f>
        <v>169875.68682496328</v>
      </c>
    </row>
    <row r="23" spans="2:5" ht="15.75" customHeight="1" x14ac:dyDescent="0.3">
      <c r="B23" s="95" t="s">
        <v>147</v>
      </c>
      <c r="C23" s="143">
        <f>NPV(C16,C7:F7)</f>
        <v>216989.70005307876</v>
      </c>
    </row>
    <row r="24" spans="2:5" ht="15.75" customHeight="1" x14ac:dyDescent="0.3"/>
    <row r="25" spans="2:5" ht="15.75" customHeight="1" x14ac:dyDescent="0.3"/>
    <row r="26" spans="2:5" ht="15.75" customHeight="1" x14ac:dyDescent="0.3"/>
    <row r="27" spans="2:5" ht="15.75" customHeight="1" x14ac:dyDescent="0.3"/>
    <row r="28" spans="2:5" ht="15.75" customHeight="1" x14ac:dyDescent="0.3"/>
    <row r="29" spans="2:5" ht="15.75" customHeight="1" x14ac:dyDescent="0.3"/>
    <row r="30" spans="2:5" ht="15.75" customHeight="1" x14ac:dyDescent="0.3"/>
    <row r="31" spans="2:5" ht="15.75" customHeight="1" x14ac:dyDescent="0.3"/>
    <row r="32" spans="2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1">
    <mergeCell ref="B3:F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6731-8329-4229-A133-9067A07B6786}">
  <dimension ref="C5:P8"/>
  <sheetViews>
    <sheetView topLeftCell="C1" workbookViewId="0">
      <selection activeCell="C6" sqref="C6"/>
    </sheetView>
  </sheetViews>
  <sheetFormatPr baseColWidth="10" defaultRowHeight="14.4" x14ac:dyDescent="0.3"/>
  <sheetData>
    <row r="5" spans="3:16" x14ac:dyDescent="0.3">
      <c r="C5" t="s">
        <v>180</v>
      </c>
      <c r="D5" t="s">
        <v>181</v>
      </c>
      <c r="E5" t="s">
        <v>182</v>
      </c>
      <c r="F5" t="s">
        <v>183</v>
      </c>
      <c r="G5" t="s">
        <v>184</v>
      </c>
      <c r="H5" t="s">
        <v>185</v>
      </c>
      <c r="I5" t="s">
        <v>186</v>
      </c>
      <c r="J5" t="s">
        <v>187</v>
      </c>
      <c r="K5" t="s">
        <v>188</v>
      </c>
      <c r="L5" t="s">
        <v>189</v>
      </c>
      <c r="M5" t="s">
        <v>190</v>
      </c>
      <c r="N5" t="s">
        <v>191</v>
      </c>
    </row>
    <row r="6" spans="3:16" x14ac:dyDescent="0.3">
      <c r="C6">
        <v>160</v>
      </c>
      <c r="D6">
        <v>0</v>
      </c>
      <c r="E6">
        <v>0</v>
      </c>
      <c r="F6">
        <v>160</v>
      </c>
      <c r="G6">
        <v>0</v>
      </c>
      <c r="H6">
        <v>0</v>
      </c>
      <c r="I6">
        <v>0</v>
      </c>
      <c r="J6">
        <v>0</v>
      </c>
      <c r="K6">
        <v>160</v>
      </c>
      <c r="L6">
        <v>0</v>
      </c>
      <c r="M6">
        <v>0</v>
      </c>
      <c r="N6">
        <v>0</v>
      </c>
      <c r="O6">
        <f>SUM(C6+F6+K6)</f>
        <v>480</v>
      </c>
    </row>
    <row r="7" spans="3:16" x14ac:dyDescent="0.3">
      <c r="C7">
        <v>120</v>
      </c>
      <c r="D7">
        <v>0</v>
      </c>
      <c r="E7">
        <v>0</v>
      </c>
      <c r="F7">
        <v>120</v>
      </c>
      <c r="G7">
        <v>120</v>
      </c>
      <c r="H7">
        <v>0</v>
      </c>
      <c r="I7">
        <v>120</v>
      </c>
      <c r="J7">
        <v>0</v>
      </c>
      <c r="K7">
        <v>0</v>
      </c>
      <c r="L7">
        <v>120</v>
      </c>
      <c r="M7">
        <v>120</v>
      </c>
      <c r="N7">
        <v>0</v>
      </c>
      <c r="O7">
        <f>C7+F7+G7+I7+L7+M7</f>
        <v>720</v>
      </c>
    </row>
    <row r="8" spans="3:16" x14ac:dyDescent="0.3">
      <c r="C8">
        <v>150</v>
      </c>
      <c r="D8">
        <v>150</v>
      </c>
      <c r="E8">
        <v>150</v>
      </c>
      <c r="F8">
        <v>150</v>
      </c>
      <c r="G8">
        <v>0</v>
      </c>
      <c r="H8">
        <v>150</v>
      </c>
      <c r="I8">
        <v>0</v>
      </c>
      <c r="J8">
        <v>150</v>
      </c>
      <c r="K8">
        <v>150</v>
      </c>
      <c r="L8">
        <v>0</v>
      </c>
      <c r="M8">
        <v>150</v>
      </c>
      <c r="N8">
        <v>150</v>
      </c>
      <c r="O8">
        <f>SUM(C8+D8+E8+F8+H8+J8+K8+M8+N8)</f>
        <v>1350</v>
      </c>
      <c r="P8">
        <f>O8*0.3</f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MERCADO OBJETIVO</vt:lpstr>
      <vt:lpstr>COSTO UNITARIO</vt:lpstr>
      <vt:lpstr>6.1 INVERSION TOTAL</vt:lpstr>
      <vt:lpstr>6.2 ESTRUCTURA DE GASTOS</vt:lpstr>
      <vt:lpstr>6.3 PRESUPUESTO DE INGRESOS</vt:lpstr>
      <vt:lpstr>6.4 PRESUPUEST DE eGRESOS</vt:lpstr>
      <vt:lpstr>6.5 FLUJO CAJA MENSUAL 1ER AÑO</vt:lpstr>
      <vt:lpstr>6.6 FLUJO CAJA PROYECTADO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Sede SJL</dc:creator>
  <cp:lastModifiedBy>Axe Bryan Ukuncham Molina</cp:lastModifiedBy>
  <dcterms:created xsi:type="dcterms:W3CDTF">2025-10-01T13:08:52Z</dcterms:created>
  <dcterms:modified xsi:type="dcterms:W3CDTF">2025-10-16T07:35:02Z</dcterms:modified>
</cp:coreProperties>
</file>